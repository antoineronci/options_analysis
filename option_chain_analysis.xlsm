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toineronci/Desktop/"/>
    </mc:Choice>
  </mc:AlternateContent>
  <xr:revisionPtr revIDLastSave="0" documentId="13_ncr:1_{A23ECB6F-64CC-B24E-B946-162B4969ECBC}" xr6:coauthVersionLast="45" xr6:coauthVersionMax="45" xr10:uidLastSave="{00000000-0000-0000-0000-000000000000}"/>
  <bookViews>
    <workbookView xWindow="0" yWindow="440" windowWidth="28800" windowHeight="15960" activeTab="2" xr2:uid="{00000000-000D-0000-FFFF-FFFF00000000}"/>
  </bookViews>
  <sheets>
    <sheet name="Maturities" sheetId="39" r:id="rId1"/>
    <sheet name="Greeks" sheetId="37" r:id="rId2"/>
    <sheet name="VolatilitySurface" sheetId="40" r:id="rId3"/>
    <sheet name="2021-04-30" sheetId="12" r:id="rId4"/>
    <sheet name="2021-05-07" sheetId="13" r:id="rId5"/>
    <sheet name="2021-05-14" sheetId="14" r:id="rId6"/>
    <sheet name="2021-05-21" sheetId="15" r:id="rId7"/>
    <sheet name="2021-05-28" sheetId="16" r:id="rId8"/>
    <sheet name="2021-06-18" sheetId="17" r:id="rId9"/>
    <sheet name="2021-07-16" sheetId="18" r:id="rId10"/>
    <sheet name="2021-08-20" sheetId="19" r:id="rId11"/>
    <sheet name="2021-09-17" sheetId="20" r:id="rId12"/>
    <sheet name="2021-10-15" sheetId="21" r:id="rId13"/>
    <sheet name="2022-01-21" sheetId="34" r:id="rId14"/>
    <sheet name="2022-03-18" sheetId="35" r:id="rId15"/>
    <sheet name="2022-06-17" sheetId="36" r:id="rId16"/>
  </sheets>
  <functionGroups builtInGroupCount="19"/>
  <externalReferences>
    <externalReference r:id="rId17"/>
  </externalReferenc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9" i="40" l="1"/>
  <c r="M76" i="40"/>
  <c r="N76" i="40"/>
  <c r="O76" i="40"/>
  <c r="P76" i="40"/>
  <c r="Q76" i="40"/>
  <c r="R76" i="40"/>
  <c r="S76" i="40"/>
  <c r="T76" i="40"/>
  <c r="U76" i="40"/>
  <c r="V76" i="40"/>
  <c r="W76" i="40"/>
  <c r="X76" i="40"/>
  <c r="Y76" i="40"/>
  <c r="Z76" i="40"/>
  <c r="AA76" i="40"/>
  <c r="AB76" i="40"/>
  <c r="AC76" i="40"/>
  <c r="AD76" i="40"/>
  <c r="M77" i="40"/>
  <c r="N77" i="40"/>
  <c r="O77" i="40"/>
  <c r="P77" i="40"/>
  <c r="Q77" i="40"/>
  <c r="R77" i="40"/>
  <c r="S77" i="40"/>
  <c r="T77" i="40"/>
  <c r="U77" i="40"/>
  <c r="V77" i="40"/>
  <c r="W77" i="40"/>
  <c r="X77" i="40"/>
  <c r="Y77" i="40"/>
  <c r="Z77" i="40"/>
  <c r="AA77" i="40"/>
  <c r="AB77" i="40"/>
  <c r="AC77" i="40"/>
  <c r="AD77" i="40"/>
  <c r="M78" i="40"/>
  <c r="N78" i="40"/>
  <c r="O78" i="40"/>
  <c r="P78" i="40"/>
  <c r="Q78" i="40"/>
  <c r="R78" i="40"/>
  <c r="S78" i="40"/>
  <c r="T78" i="40"/>
  <c r="U78" i="40"/>
  <c r="V78" i="40"/>
  <c r="W78" i="40"/>
  <c r="X78" i="40"/>
  <c r="Y78" i="40"/>
  <c r="Z78" i="40"/>
  <c r="AA78" i="40"/>
  <c r="AB78" i="40"/>
  <c r="AC78" i="40"/>
  <c r="AD78" i="40"/>
  <c r="M79" i="40"/>
  <c r="N79" i="40"/>
  <c r="O79" i="40"/>
  <c r="P79" i="40"/>
  <c r="Q79" i="40"/>
  <c r="R79" i="40"/>
  <c r="S79" i="40"/>
  <c r="T79" i="40"/>
  <c r="U79" i="40"/>
  <c r="V79" i="40"/>
  <c r="W79" i="40"/>
  <c r="X79" i="40"/>
  <c r="Y79" i="40"/>
  <c r="Z79" i="40"/>
  <c r="AA79" i="40"/>
  <c r="AB79" i="40"/>
  <c r="AC79" i="40"/>
  <c r="AD79" i="40"/>
  <c r="M80" i="40"/>
  <c r="N80" i="40"/>
  <c r="O80" i="40"/>
  <c r="P80" i="40"/>
  <c r="Q80" i="40"/>
  <c r="R80" i="40"/>
  <c r="S80" i="40"/>
  <c r="T80" i="40"/>
  <c r="U80" i="40"/>
  <c r="V80" i="40"/>
  <c r="W80" i="40"/>
  <c r="X80" i="40"/>
  <c r="Y80" i="40"/>
  <c r="Z80" i="40"/>
  <c r="AA80" i="40"/>
  <c r="AB80" i="40"/>
  <c r="AC80" i="40"/>
  <c r="AD80" i="40"/>
  <c r="M81" i="40"/>
  <c r="N81" i="40"/>
  <c r="O81" i="40"/>
  <c r="P81" i="40"/>
  <c r="Q81" i="40"/>
  <c r="R81" i="40"/>
  <c r="S81" i="40"/>
  <c r="T81" i="40"/>
  <c r="U81" i="40"/>
  <c r="V81" i="40"/>
  <c r="W81" i="40"/>
  <c r="X81" i="40"/>
  <c r="Y81" i="40"/>
  <c r="Z81" i="40"/>
  <c r="AA81" i="40"/>
  <c r="AB81" i="40"/>
  <c r="AC81" i="40"/>
  <c r="AD81" i="40"/>
  <c r="M82" i="40"/>
  <c r="N82" i="40"/>
  <c r="O82" i="40"/>
  <c r="P82" i="40"/>
  <c r="Q82" i="40"/>
  <c r="R82" i="40"/>
  <c r="S82" i="40"/>
  <c r="T82" i="40"/>
  <c r="U82" i="40"/>
  <c r="V82" i="40"/>
  <c r="W82" i="40"/>
  <c r="X82" i="40"/>
  <c r="Y82" i="40"/>
  <c r="Z82" i="40"/>
  <c r="AA82" i="40"/>
  <c r="AB82" i="40"/>
  <c r="AC82" i="40"/>
  <c r="AD82" i="40"/>
  <c r="M83" i="40"/>
  <c r="N83" i="40"/>
  <c r="O83" i="40"/>
  <c r="P83" i="40"/>
  <c r="Q83" i="40"/>
  <c r="R83" i="40"/>
  <c r="S83" i="40"/>
  <c r="T83" i="40"/>
  <c r="U83" i="40"/>
  <c r="V83" i="40"/>
  <c r="W83" i="40"/>
  <c r="X83" i="40"/>
  <c r="Y83" i="40"/>
  <c r="Z83" i="40"/>
  <c r="AA83" i="40"/>
  <c r="AB83" i="40"/>
  <c r="AC83" i="40"/>
  <c r="AD83" i="40"/>
  <c r="M84" i="40"/>
  <c r="N84" i="40"/>
  <c r="O84" i="40"/>
  <c r="P84" i="40"/>
  <c r="Q84" i="40"/>
  <c r="R84" i="40"/>
  <c r="S84" i="40"/>
  <c r="T84" i="40"/>
  <c r="U84" i="40"/>
  <c r="V84" i="40"/>
  <c r="W84" i="40"/>
  <c r="X84" i="40"/>
  <c r="Y84" i="40"/>
  <c r="Z84" i="40"/>
  <c r="AA84" i="40"/>
  <c r="AB84" i="40"/>
  <c r="AC84" i="40"/>
  <c r="AD84" i="40"/>
  <c r="M85" i="40"/>
  <c r="N85" i="40"/>
  <c r="O85" i="40"/>
  <c r="P85" i="40"/>
  <c r="Q85" i="40"/>
  <c r="R85" i="40"/>
  <c r="S85" i="40"/>
  <c r="T85" i="40"/>
  <c r="U85" i="40"/>
  <c r="V85" i="40"/>
  <c r="W85" i="40"/>
  <c r="X85" i="40"/>
  <c r="Y85" i="40"/>
  <c r="Z85" i="40"/>
  <c r="AA85" i="40"/>
  <c r="AB85" i="40"/>
  <c r="AC85" i="40"/>
  <c r="AD85" i="40"/>
  <c r="M86" i="40"/>
  <c r="N86" i="40"/>
  <c r="O86" i="40"/>
  <c r="P86" i="40"/>
  <c r="Q86" i="40"/>
  <c r="R86" i="40"/>
  <c r="S86" i="40"/>
  <c r="T86" i="40"/>
  <c r="U86" i="40"/>
  <c r="V86" i="40"/>
  <c r="W86" i="40"/>
  <c r="X86" i="40"/>
  <c r="Y86" i="40"/>
  <c r="Z86" i="40"/>
  <c r="AA86" i="40"/>
  <c r="AB86" i="40"/>
  <c r="AC86" i="40"/>
  <c r="AD86" i="40"/>
  <c r="M87" i="40"/>
  <c r="N87" i="40"/>
  <c r="O87" i="40"/>
  <c r="P87" i="40"/>
  <c r="Q87" i="40"/>
  <c r="R87" i="40"/>
  <c r="S87" i="40"/>
  <c r="T87" i="40"/>
  <c r="U87" i="40"/>
  <c r="V87" i="40"/>
  <c r="W87" i="40"/>
  <c r="X87" i="40"/>
  <c r="Y87" i="40"/>
  <c r="Z87" i="40"/>
  <c r="AA87" i="40"/>
  <c r="AB87" i="40"/>
  <c r="AC87" i="40"/>
  <c r="AD87" i="40"/>
  <c r="M88" i="40"/>
  <c r="N88" i="40"/>
  <c r="O88" i="40"/>
  <c r="P88" i="40"/>
  <c r="Q88" i="40"/>
  <c r="R88" i="40"/>
  <c r="S88" i="40"/>
  <c r="T88" i="40"/>
  <c r="U88" i="40"/>
  <c r="V88" i="40"/>
  <c r="W88" i="40"/>
  <c r="X88" i="40"/>
  <c r="Y88" i="40"/>
  <c r="Z88" i="40"/>
  <c r="AA88" i="40"/>
  <c r="AB88" i="40"/>
  <c r="AC88" i="40"/>
  <c r="AD88" i="40"/>
  <c r="N75" i="40"/>
  <c r="O75" i="40"/>
  <c r="P75" i="40"/>
  <c r="Q75" i="40"/>
  <c r="R75" i="40"/>
  <c r="S75" i="40"/>
  <c r="T75" i="40"/>
  <c r="U75" i="40"/>
  <c r="V75" i="40"/>
  <c r="W75" i="40"/>
  <c r="X75" i="40"/>
  <c r="Y75" i="40"/>
  <c r="Z75" i="40"/>
  <c r="AA75" i="40"/>
  <c r="AB75" i="40"/>
  <c r="AC75" i="40"/>
  <c r="AD75" i="40"/>
  <c r="O59" i="40"/>
  <c r="M59" i="40"/>
  <c r="F52" i="40"/>
  <c r="G52" i="40" s="1"/>
  <c r="H52" i="40"/>
  <c r="I52" i="40" s="1"/>
  <c r="F53" i="40"/>
  <c r="G53" i="40" s="1"/>
  <c r="H53" i="40"/>
  <c r="I53" i="40" s="1"/>
  <c r="F54" i="40"/>
  <c r="G54" i="40" s="1"/>
  <c r="H54" i="40"/>
  <c r="F55" i="40"/>
  <c r="G55" i="40" s="1"/>
  <c r="H55" i="40"/>
  <c r="F56" i="40"/>
  <c r="G56" i="40" s="1"/>
  <c r="H56" i="40"/>
  <c r="I56" i="40" s="1"/>
  <c r="F57" i="40"/>
  <c r="H57" i="40"/>
  <c r="I57" i="40" s="1"/>
  <c r="F58" i="40"/>
  <c r="G58" i="40" s="1"/>
  <c r="H58" i="40"/>
  <c r="F59" i="40"/>
  <c r="G59" i="40" s="1"/>
  <c r="H59" i="40"/>
  <c r="F60" i="40"/>
  <c r="G60" i="40" s="1"/>
  <c r="H60" i="40"/>
  <c r="I60" i="40" s="1"/>
  <c r="F61" i="40"/>
  <c r="G61" i="40" s="1"/>
  <c r="H61" i="40"/>
  <c r="I61" i="40" s="1"/>
  <c r="F62" i="40"/>
  <c r="G62" i="40" s="1"/>
  <c r="H62" i="40"/>
  <c r="F63" i="40"/>
  <c r="G63" i="40" s="1"/>
  <c r="H63" i="40"/>
  <c r="I63" i="40" s="1"/>
  <c r="F64" i="40"/>
  <c r="G64" i="40" s="1"/>
  <c r="H64" i="40"/>
  <c r="I64" i="40" s="1"/>
  <c r="F65" i="40"/>
  <c r="G65" i="40" s="1"/>
  <c r="H65" i="40"/>
  <c r="I65" i="40" s="1"/>
  <c r="F66" i="40"/>
  <c r="G66" i="40" s="1"/>
  <c r="H66" i="40"/>
  <c r="F67" i="40"/>
  <c r="G67" i="40" s="1"/>
  <c r="H67" i="40"/>
  <c r="I67" i="40" s="1"/>
  <c r="F68" i="40"/>
  <c r="G68" i="40" s="1"/>
  <c r="H68" i="40"/>
  <c r="I68" i="40" s="1"/>
  <c r="F69" i="40"/>
  <c r="G69" i="40" s="1"/>
  <c r="H69" i="40"/>
  <c r="I69" i="40" s="1"/>
  <c r="F70" i="40"/>
  <c r="G70" i="40" s="1"/>
  <c r="H70" i="40"/>
  <c r="F71" i="40"/>
  <c r="G71" i="40" s="1"/>
  <c r="H71" i="40"/>
  <c r="I71" i="40" s="1"/>
  <c r="F72" i="40"/>
  <c r="G72" i="40" s="1"/>
  <c r="H72" i="40"/>
  <c r="I72" i="40" s="1"/>
  <c r="F73" i="40"/>
  <c r="G73" i="40" s="1"/>
  <c r="H73" i="40"/>
  <c r="I73" i="40" s="1"/>
  <c r="F74" i="40"/>
  <c r="G74" i="40" s="1"/>
  <c r="H74" i="40"/>
  <c r="F75" i="40"/>
  <c r="G75" i="40" s="1"/>
  <c r="H75" i="40"/>
  <c r="I75" i="40" s="1"/>
  <c r="F76" i="40"/>
  <c r="G76" i="40" s="1"/>
  <c r="H76" i="40"/>
  <c r="I76" i="40" s="1"/>
  <c r="F77" i="40"/>
  <c r="G77" i="40" s="1"/>
  <c r="H77" i="40"/>
  <c r="I77" i="40" s="1"/>
  <c r="F78" i="40"/>
  <c r="G78" i="40" s="1"/>
  <c r="H78" i="40"/>
  <c r="F79" i="40"/>
  <c r="G79" i="40" s="1"/>
  <c r="H79" i="40"/>
  <c r="F80" i="40"/>
  <c r="G80" i="40" s="1"/>
  <c r="H80" i="40"/>
  <c r="I80" i="40" s="1"/>
  <c r="F81" i="40"/>
  <c r="G81" i="40" s="1"/>
  <c r="H81" i="40"/>
  <c r="I81" i="40" s="1"/>
  <c r="F82" i="40"/>
  <c r="G82" i="40" s="1"/>
  <c r="H82" i="40"/>
  <c r="F83" i="40"/>
  <c r="G83" i="40" s="1"/>
  <c r="H83" i="40"/>
  <c r="I83" i="40" s="1"/>
  <c r="F84" i="40"/>
  <c r="G84" i="40" s="1"/>
  <c r="H84" i="40"/>
  <c r="I84" i="40" s="1"/>
  <c r="F85" i="40"/>
  <c r="G85" i="40" s="1"/>
  <c r="H85" i="40"/>
  <c r="I85" i="40" s="1"/>
  <c r="F86" i="40"/>
  <c r="G86" i="40" s="1"/>
  <c r="H86" i="40"/>
  <c r="F87" i="40"/>
  <c r="G87" i="40" s="1"/>
  <c r="H87" i="40"/>
  <c r="F88" i="40"/>
  <c r="G88" i="40" s="1"/>
  <c r="H88" i="40"/>
  <c r="I88" i="40" s="1"/>
  <c r="F89" i="40"/>
  <c r="G89" i="40" s="1"/>
  <c r="H89" i="40"/>
  <c r="I89" i="40" s="1"/>
  <c r="F90" i="40"/>
  <c r="G90" i="40" s="1"/>
  <c r="H90" i="40"/>
  <c r="F91" i="40"/>
  <c r="G91" i="40" s="1"/>
  <c r="H91" i="40"/>
  <c r="F92" i="40"/>
  <c r="G92" i="40" s="1"/>
  <c r="H92" i="40"/>
  <c r="I92" i="40" s="1"/>
  <c r="F93" i="40"/>
  <c r="G93" i="40" s="1"/>
  <c r="H93" i="40"/>
  <c r="I93" i="40" s="1"/>
  <c r="F94" i="40"/>
  <c r="G94" i="40" s="1"/>
  <c r="H94" i="40"/>
  <c r="F95" i="40"/>
  <c r="G95" i="40" s="1"/>
  <c r="H95" i="40"/>
  <c r="I95" i="40" s="1"/>
  <c r="F96" i="40"/>
  <c r="G96" i="40" s="1"/>
  <c r="H96" i="40"/>
  <c r="I96" i="40" s="1"/>
  <c r="F97" i="40"/>
  <c r="G97" i="40" s="1"/>
  <c r="H97" i="40"/>
  <c r="I97" i="40" s="1"/>
  <c r="F98" i="40"/>
  <c r="G98" i="40" s="1"/>
  <c r="H98" i="40"/>
  <c r="F99" i="40"/>
  <c r="G99" i="40" s="1"/>
  <c r="H99" i="40"/>
  <c r="F100" i="40"/>
  <c r="G100" i="40" s="1"/>
  <c r="H100" i="40"/>
  <c r="I100" i="40" s="1"/>
  <c r="F101" i="40"/>
  <c r="G101" i="40" s="1"/>
  <c r="H101" i="40"/>
  <c r="I101" i="40" s="1"/>
  <c r="F102" i="40"/>
  <c r="G102" i="40" s="1"/>
  <c r="H102" i="40"/>
  <c r="F103" i="40"/>
  <c r="G103" i="40" s="1"/>
  <c r="H103" i="40"/>
  <c r="F104" i="40"/>
  <c r="G104" i="40" s="1"/>
  <c r="H104" i="40"/>
  <c r="I104" i="40" s="1"/>
  <c r="F105" i="40"/>
  <c r="G105" i="40" s="1"/>
  <c r="H105" i="40"/>
  <c r="I105" i="40" s="1"/>
  <c r="F106" i="40"/>
  <c r="G106" i="40" s="1"/>
  <c r="H106" i="40"/>
  <c r="F107" i="40"/>
  <c r="G107" i="40" s="1"/>
  <c r="H107" i="40"/>
  <c r="I107" i="40" s="1"/>
  <c r="F108" i="40"/>
  <c r="G108" i="40" s="1"/>
  <c r="H108" i="40"/>
  <c r="I108" i="40" s="1"/>
  <c r="F109" i="40"/>
  <c r="G109" i="40" s="1"/>
  <c r="H109" i="40"/>
  <c r="I109" i="40" s="1"/>
  <c r="F110" i="40"/>
  <c r="G110" i="40" s="1"/>
  <c r="H110" i="40"/>
  <c r="F111" i="40"/>
  <c r="G111" i="40" s="1"/>
  <c r="H111" i="40"/>
  <c r="F112" i="40"/>
  <c r="G112" i="40" s="1"/>
  <c r="H112" i="40"/>
  <c r="I112" i="40" s="1"/>
  <c r="F113" i="40"/>
  <c r="G113" i="40" s="1"/>
  <c r="H113" i="40"/>
  <c r="I113" i="40" s="1"/>
  <c r="F114" i="40"/>
  <c r="G114" i="40" s="1"/>
  <c r="H114" i="40"/>
  <c r="F115" i="40"/>
  <c r="G115" i="40" s="1"/>
  <c r="H115" i="40"/>
  <c r="F116" i="40"/>
  <c r="G116" i="40" s="1"/>
  <c r="H116" i="40"/>
  <c r="I116" i="40" s="1"/>
  <c r="F117" i="40"/>
  <c r="G117" i="40" s="1"/>
  <c r="H117" i="40"/>
  <c r="I117" i="40" s="1"/>
  <c r="F118" i="40"/>
  <c r="G118" i="40" s="1"/>
  <c r="H118" i="40"/>
  <c r="F119" i="40"/>
  <c r="G119" i="40" s="1"/>
  <c r="H119" i="40"/>
  <c r="F120" i="40"/>
  <c r="G120" i="40" s="1"/>
  <c r="H120" i="40"/>
  <c r="I120" i="40" s="1"/>
  <c r="F121" i="40"/>
  <c r="G121" i="40" s="1"/>
  <c r="H121" i="40"/>
  <c r="I121" i="40" s="1"/>
  <c r="F122" i="40"/>
  <c r="G122" i="40" s="1"/>
  <c r="H122" i="40"/>
  <c r="F123" i="40"/>
  <c r="G123" i="40" s="1"/>
  <c r="H123" i="40"/>
  <c r="F124" i="40"/>
  <c r="G124" i="40" s="1"/>
  <c r="H124" i="40"/>
  <c r="I124" i="40" s="1"/>
  <c r="F125" i="40"/>
  <c r="G125" i="40" s="1"/>
  <c r="H125" i="40"/>
  <c r="I125" i="40" s="1"/>
  <c r="F126" i="40"/>
  <c r="G126" i="40" s="1"/>
  <c r="H126" i="40"/>
  <c r="F127" i="40"/>
  <c r="G127" i="40" s="1"/>
  <c r="H127" i="40"/>
  <c r="I127" i="40" s="1"/>
  <c r="F128" i="40"/>
  <c r="G128" i="40" s="1"/>
  <c r="H128" i="40"/>
  <c r="I128" i="40" s="1"/>
  <c r="F129" i="40"/>
  <c r="G129" i="40" s="1"/>
  <c r="H129" i="40"/>
  <c r="I129" i="40" s="1"/>
  <c r="F130" i="40"/>
  <c r="G130" i="40" s="1"/>
  <c r="H130" i="40"/>
  <c r="F131" i="40"/>
  <c r="G131" i="40" s="1"/>
  <c r="H131" i="40"/>
  <c r="I131" i="40" s="1"/>
  <c r="F132" i="40"/>
  <c r="G132" i="40" s="1"/>
  <c r="H132" i="40"/>
  <c r="I132" i="40" s="1"/>
  <c r="F133" i="40"/>
  <c r="G133" i="40" s="1"/>
  <c r="H133" i="40"/>
  <c r="I133" i="40" s="1"/>
  <c r="F134" i="40"/>
  <c r="G134" i="40" s="1"/>
  <c r="H134" i="40"/>
  <c r="F135" i="40"/>
  <c r="G135" i="40" s="1"/>
  <c r="H135" i="40"/>
  <c r="F136" i="40"/>
  <c r="G136" i="40" s="1"/>
  <c r="H136" i="40"/>
  <c r="I136" i="40" s="1"/>
  <c r="F137" i="40"/>
  <c r="G137" i="40" s="1"/>
  <c r="H137" i="40"/>
  <c r="I137" i="40" s="1"/>
  <c r="F138" i="40"/>
  <c r="G138" i="40" s="1"/>
  <c r="H138" i="40"/>
  <c r="F139" i="40"/>
  <c r="G139" i="40" s="1"/>
  <c r="H139" i="40"/>
  <c r="I139" i="40" s="1"/>
  <c r="F140" i="40"/>
  <c r="G140" i="40" s="1"/>
  <c r="H140" i="40"/>
  <c r="I140" i="40" s="1"/>
  <c r="F141" i="40"/>
  <c r="G141" i="40" s="1"/>
  <c r="H141" i="40"/>
  <c r="I141" i="40" s="1"/>
  <c r="F142" i="40"/>
  <c r="G142" i="40" s="1"/>
  <c r="H142" i="40"/>
  <c r="F143" i="40"/>
  <c r="G143" i="40" s="1"/>
  <c r="H143" i="40"/>
  <c r="F144" i="40"/>
  <c r="G144" i="40" s="1"/>
  <c r="H144" i="40"/>
  <c r="I144" i="40" s="1"/>
  <c r="F145" i="40"/>
  <c r="G145" i="40" s="1"/>
  <c r="H145" i="40"/>
  <c r="I145" i="40" s="1"/>
  <c r="F146" i="40"/>
  <c r="G146" i="40" s="1"/>
  <c r="H146" i="40"/>
  <c r="F147" i="40"/>
  <c r="G147" i="40" s="1"/>
  <c r="H147" i="40"/>
  <c r="I147" i="40" s="1"/>
  <c r="F148" i="40"/>
  <c r="G148" i="40" s="1"/>
  <c r="H148" i="40"/>
  <c r="I148" i="40" s="1"/>
  <c r="F149" i="40"/>
  <c r="G149" i="40" s="1"/>
  <c r="H149" i="40"/>
  <c r="F150" i="40"/>
  <c r="G150" i="40" s="1"/>
  <c r="H150" i="40"/>
  <c r="F151" i="40"/>
  <c r="G151" i="40" s="1"/>
  <c r="H151" i="40"/>
  <c r="I151" i="40" s="1"/>
  <c r="F152" i="40"/>
  <c r="G152" i="40" s="1"/>
  <c r="H152" i="40"/>
  <c r="I152" i="40" s="1"/>
  <c r="F153" i="40"/>
  <c r="G153" i="40" s="1"/>
  <c r="H153" i="40"/>
  <c r="I153" i="40" s="1"/>
  <c r="F154" i="40"/>
  <c r="G154" i="40" s="1"/>
  <c r="H154" i="40"/>
  <c r="F155" i="40"/>
  <c r="G155" i="40" s="1"/>
  <c r="H155" i="40"/>
  <c r="I155" i="40" s="1"/>
  <c r="F156" i="40"/>
  <c r="G156" i="40" s="1"/>
  <c r="H156" i="40"/>
  <c r="I156" i="40" s="1"/>
  <c r="F157" i="40"/>
  <c r="G157" i="40" s="1"/>
  <c r="H157" i="40"/>
  <c r="I157" i="40" s="1"/>
  <c r="F158" i="40"/>
  <c r="G158" i="40" s="1"/>
  <c r="H158" i="40"/>
  <c r="F159" i="40"/>
  <c r="G159" i="40" s="1"/>
  <c r="H159" i="40"/>
  <c r="I159" i="40" s="1"/>
  <c r="F160" i="40"/>
  <c r="G160" i="40" s="1"/>
  <c r="H160" i="40"/>
  <c r="I160" i="40" s="1"/>
  <c r="F161" i="40"/>
  <c r="G161" i="40" s="1"/>
  <c r="H161" i="40"/>
  <c r="F162" i="40"/>
  <c r="G162" i="40" s="1"/>
  <c r="H162" i="40"/>
  <c r="I162" i="40" s="1"/>
  <c r="F163" i="40"/>
  <c r="G163" i="40" s="1"/>
  <c r="H163" i="40"/>
  <c r="I163" i="40" s="1"/>
  <c r="F164" i="40"/>
  <c r="G164" i="40" s="1"/>
  <c r="H164" i="40"/>
  <c r="I164" i="40" s="1"/>
  <c r="F165" i="40"/>
  <c r="G165" i="40" s="1"/>
  <c r="H165" i="40"/>
  <c r="I165" i="40" s="1"/>
  <c r="F166" i="40"/>
  <c r="G166" i="40" s="1"/>
  <c r="H166" i="40"/>
  <c r="I166" i="40" s="1"/>
  <c r="F167" i="40"/>
  <c r="G167" i="40" s="1"/>
  <c r="H167" i="40"/>
  <c r="I167" i="40" s="1"/>
  <c r="F168" i="40"/>
  <c r="G168" i="40" s="1"/>
  <c r="H168" i="40"/>
  <c r="I168" i="40" s="1"/>
  <c r="F169" i="40"/>
  <c r="G169" i="40" s="1"/>
  <c r="H169" i="40"/>
  <c r="I169" i="40" s="1"/>
  <c r="F170" i="40"/>
  <c r="G170" i="40" s="1"/>
  <c r="H170" i="40"/>
  <c r="I170" i="40" s="1"/>
  <c r="F171" i="40"/>
  <c r="G171" i="40" s="1"/>
  <c r="H171" i="40"/>
  <c r="I171" i="40" s="1"/>
  <c r="F172" i="40"/>
  <c r="G172" i="40" s="1"/>
  <c r="H172" i="40"/>
  <c r="I172" i="40" s="1"/>
  <c r="F173" i="40"/>
  <c r="G173" i="40" s="1"/>
  <c r="H173" i="40"/>
  <c r="I173" i="40" s="1"/>
  <c r="F174" i="40"/>
  <c r="G174" i="40" s="1"/>
  <c r="H174" i="40"/>
  <c r="I174" i="40" s="1"/>
  <c r="F175" i="40"/>
  <c r="G175" i="40" s="1"/>
  <c r="H175" i="40"/>
  <c r="I175" i="40" s="1"/>
  <c r="F176" i="40"/>
  <c r="G176" i="40" s="1"/>
  <c r="H176" i="40"/>
  <c r="I176" i="40" s="1"/>
  <c r="F177" i="40"/>
  <c r="G177" i="40" s="1"/>
  <c r="H177" i="40"/>
  <c r="F178" i="40"/>
  <c r="H178" i="40"/>
  <c r="I178" i="40" s="1"/>
  <c r="F179" i="40"/>
  <c r="G179" i="40" s="1"/>
  <c r="H179" i="40"/>
  <c r="I179" i="40" s="1"/>
  <c r="F180" i="40"/>
  <c r="G180" i="40" s="1"/>
  <c r="H180" i="40"/>
  <c r="I180" i="40" s="1"/>
  <c r="F181" i="40"/>
  <c r="G181" i="40" s="1"/>
  <c r="H181" i="40"/>
  <c r="F182" i="40"/>
  <c r="G182" i="40" s="1"/>
  <c r="H182" i="40"/>
  <c r="I182" i="40" s="1"/>
  <c r="F183" i="40"/>
  <c r="G183" i="40" s="1"/>
  <c r="H183" i="40"/>
  <c r="I183" i="40" s="1"/>
  <c r="F184" i="40"/>
  <c r="G184" i="40" s="1"/>
  <c r="H184" i="40"/>
  <c r="I184" i="40" s="1"/>
  <c r="F185" i="40"/>
  <c r="G185" i="40" s="1"/>
  <c r="H185" i="40"/>
  <c r="F186" i="40"/>
  <c r="G186" i="40" s="1"/>
  <c r="H186" i="40"/>
  <c r="I186" i="40" s="1"/>
  <c r="F187" i="40"/>
  <c r="G187" i="40" s="1"/>
  <c r="H187" i="40"/>
  <c r="I187" i="40" s="1"/>
  <c r="F188" i="40"/>
  <c r="G188" i="40" s="1"/>
  <c r="H188" i="40"/>
  <c r="I188" i="40" s="1"/>
  <c r="F189" i="40"/>
  <c r="G189" i="40" s="1"/>
  <c r="H189" i="40"/>
  <c r="F190" i="40"/>
  <c r="G190" i="40" s="1"/>
  <c r="H190" i="40"/>
  <c r="I190" i="40" s="1"/>
  <c r="F191" i="40"/>
  <c r="G191" i="40" s="1"/>
  <c r="H191" i="40"/>
  <c r="I191" i="40" s="1"/>
  <c r="F192" i="40"/>
  <c r="G192" i="40" s="1"/>
  <c r="H192" i="40"/>
  <c r="I192" i="40" s="1"/>
  <c r="F193" i="40"/>
  <c r="G193" i="40" s="1"/>
  <c r="H193" i="40"/>
  <c r="F194" i="40"/>
  <c r="H194" i="40"/>
  <c r="I194" i="40" s="1"/>
  <c r="F195" i="40"/>
  <c r="G195" i="40" s="1"/>
  <c r="H195" i="40"/>
  <c r="I195" i="40" s="1"/>
  <c r="F196" i="40"/>
  <c r="G196" i="40" s="1"/>
  <c r="H196" i="40"/>
  <c r="I196" i="40" s="1"/>
  <c r="F197" i="40"/>
  <c r="G197" i="40" s="1"/>
  <c r="H197" i="40"/>
  <c r="F198" i="40"/>
  <c r="G198" i="40" s="1"/>
  <c r="H198" i="40"/>
  <c r="I198" i="40" s="1"/>
  <c r="F199" i="40"/>
  <c r="G199" i="40" s="1"/>
  <c r="H199" i="40"/>
  <c r="I199" i="40" s="1"/>
  <c r="F200" i="40"/>
  <c r="G200" i="40" s="1"/>
  <c r="H200" i="40"/>
  <c r="F201" i="40"/>
  <c r="G201" i="40" s="1"/>
  <c r="H201" i="40"/>
  <c r="I201" i="40" s="1"/>
  <c r="F202" i="40"/>
  <c r="G202" i="40" s="1"/>
  <c r="H202" i="40"/>
  <c r="I202" i="40" s="1"/>
  <c r="F203" i="40"/>
  <c r="G203" i="40" s="1"/>
  <c r="H203" i="40"/>
  <c r="I203" i="40" s="1"/>
  <c r="F204" i="40"/>
  <c r="G204" i="40" s="1"/>
  <c r="H204" i="40"/>
  <c r="I204" i="40" s="1"/>
  <c r="C4" i="40" a="1"/>
  <c r="C4" i="40" s="1"/>
  <c r="C2" i="40" s="1"/>
  <c r="J55" i="40" l="1"/>
  <c r="J194" i="40"/>
  <c r="J111" i="40"/>
  <c r="J87" i="40"/>
  <c r="J79" i="40"/>
  <c r="J181" i="40"/>
  <c r="J161" i="40"/>
  <c r="J149" i="40"/>
  <c r="J143" i="40"/>
  <c r="J100" i="40"/>
  <c r="J77" i="40"/>
  <c r="J189" i="40"/>
  <c r="J135" i="40"/>
  <c r="J103" i="40"/>
  <c r="J57" i="40"/>
  <c r="J124" i="40"/>
  <c r="J119" i="40"/>
  <c r="G57" i="40"/>
  <c r="I55" i="40"/>
  <c r="J125" i="40"/>
  <c r="J113" i="40"/>
  <c r="J185" i="40"/>
  <c r="J197" i="40"/>
  <c r="J193" i="40"/>
  <c r="J99" i="40"/>
  <c r="J91" i="40"/>
  <c r="J89" i="40"/>
  <c r="J67" i="40"/>
  <c r="J202" i="40"/>
  <c r="J179" i="40"/>
  <c r="J145" i="40"/>
  <c r="I119" i="40"/>
  <c r="J92" i="40"/>
  <c r="J59" i="40"/>
  <c r="J133" i="40"/>
  <c r="J93" i="40"/>
  <c r="J83" i="40"/>
  <c r="J73" i="40"/>
  <c r="J71" i="40"/>
  <c r="J60" i="40"/>
  <c r="J163" i="40"/>
  <c r="J200" i="40"/>
  <c r="J171" i="40"/>
  <c r="J151" i="40"/>
  <c r="J137" i="40"/>
  <c r="J123" i="40"/>
  <c r="J115" i="40"/>
  <c r="J105" i="40"/>
  <c r="I99" i="40"/>
  <c r="I87" i="40"/>
  <c r="J81" i="40"/>
  <c r="J69" i="40"/>
  <c r="J61" i="40"/>
  <c r="P59" i="40"/>
  <c r="J101" i="40"/>
  <c r="J204" i="40"/>
  <c r="J195" i="40"/>
  <c r="J191" i="40"/>
  <c r="J187" i="40"/>
  <c r="J183" i="40"/>
  <c r="J178" i="40"/>
  <c r="J174" i="40"/>
  <c r="J172" i="40"/>
  <c r="J170" i="40"/>
  <c r="J169" i="40"/>
  <c r="J159" i="40"/>
  <c r="J157" i="40"/>
  <c r="J152" i="40"/>
  <c r="J147" i="40"/>
  <c r="J141" i="40"/>
  <c r="J132" i="40"/>
  <c r="J131" i="40"/>
  <c r="J121" i="40"/>
  <c r="J109" i="40"/>
  <c r="J68" i="40"/>
  <c r="J175" i="40"/>
  <c r="J201" i="40"/>
  <c r="J198" i="40"/>
  <c r="J190" i="40"/>
  <c r="I189" i="40"/>
  <c r="J188" i="40"/>
  <c r="J182" i="40"/>
  <c r="I181" i="40"/>
  <c r="J177" i="40"/>
  <c r="J173" i="40"/>
  <c r="J167" i="40"/>
  <c r="J165" i="40"/>
  <c r="I161" i="40"/>
  <c r="J160" i="40"/>
  <c r="J155" i="40"/>
  <c r="J153" i="40"/>
  <c r="J140" i="40"/>
  <c r="J139" i="40"/>
  <c r="I135" i="40"/>
  <c r="J129" i="40"/>
  <c r="J127" i="40"/>
  <c r="J117" i="40"/>
  <c r="I115" i="40"/>
  <c r="J108" i="40"/>
  <c r="J107" i="40"/>
  <c r="I103" i="40"/>
  <c r="J97" i="40"/>
  <c r="J95" i="40"/>
  <c r="J85" i="40"/>
  <c r="J76" i="40"/>
  <c r="J75" i="40"/>
  <c r="J65" i="40"/>
  <c r="J63" i="40"/>
  <c r="J53" i="40"/>
  <c r="I200" i="40"/>
  <c r="I197" i="40"/>
  <c r="I149" i="40"/>
  <c r="I143" i="40"/>
  <c r="I123" i="40"/>
  <c r="J116" i="40"/>
  <c r="I111" i="40"/>
  <c r="I91" i="40"/>
  <c r="J84" i="40"/>
  <c r="I79" i="40"/>
  <c r="I59" i="40"/>
  <c r="J52" i="40"/>
  <c r="G194" i="40"/>
  <c r="J186" i="40"/>
  <c r="I185" i="40"/>
  <c r="J184" i="40"/>
  <c r="G178" i="40"/>
  <c r="I158" i="40"/>
  <c r="J158" i="40"/>
  <c r="I150" i="40"/>
  <c r="J150" i="40"/>
  <c r="I142" i="40"/>
  <c r="J142" i="40"/>
  <c r="I134" i="40"/>
  <c r="J134" i="40"/>
  <c r="I126" i="40"/>
  <c r="J126" i="40"/>
  <c r="I118" i="40"/>
  <c r="J118" i="40"/>
  <c r="I110" i="40"/>
  <c r="J110" i="40"/>
  <c r="I102" i="40"/>
  <c r="J102" i="40"/>
  <c r="I94" i="40"/>
  <c r="J94" i="40"/>
  <c r="I86" i="40"/>
  <c r="J86" i="40"/>
  <c r="I78" i="40"/>
  <c r="J78" i="40"/>
  <c r="I70" i="40"/>
  <c r="J70" i="40"/>
  <c r="I62" i="40"/>
  <c r="J62" i="40"/>
  <c r="I54" i="40"/>
  <c r="J54" i="40"/>
  <c r="J203" i="40"/>
  <c r="J164" i="40"/>
  <c r="J144" i="40"/>
  <c r="J120" i="40"/>
  <c r="J112" i="40"/>
  <c r="J104" i="40"/>
  <c r="J88" i="40"/>
  <c r="J80" i="40"/>
  <c r="J72" i="40"/>
  <c r="J64" i="40"/>
  <c r="J56" i="40"/>
  <c r="J199" i="40"/>
  <c r="J196" i="40"/>
  <c r="J180" i="40"/>
  <c r="J162" i="40"/>
  <c r="J136" i="40"/>
  <c r="J128" i="40"/>
  <c r="J96" i="40"/>
  <c r="I193" i="40"/>
  <c r="J192" i="40"/>
  <c r="I177" i="40"/>
  <c r="J176" i="40"/>
  <c r="J168" i="40"/>
  <c r="J166" i="40"/>
  <c r="J156" i="40"/>
  <c r="I154" i="40"/>
  <c r="J154" i="40"/>
  <c r="J148" i="40"/>
  <c r="I146" i="40"/>
  <c r="J146" i="40"/>
  <c r="I138" i="40"/>
  <c r="J138" i="40"/>
  <c r="I130" i="40"/>
  <c r="J130" i="40"/>
  <c r="I122" i="40"/>
  <c r="J122" i="40"/>
  <c r="I114" i="40"/>
  <c r="J114" i="40"/>
  <c r="I106" i="40"/>
  <c r="J106" i="40"/>
  <c r="I98" i="40"/>
  <c r="J98" i="40"/>
  <c r="I90" i="40"/>
  <c r="J90" i="40"/>
  <c r="I82" i="40"/>
  <c r="J82" i="40"/>
  <c r="I74" i="40"/>
  <c r="J74" i="40"/>
  <c r="I66" i="40"/>
  <c r="J66" i="40"/>
  <c r="I58" i="40"/>
  <c r="J58" i="40"/>
  <c r="L26" i="40"/>
  <c r="H26" i="40"/>
  <c r="D26" i="40"/>
  <c r="N2" i="40"/>
  <c r="J2" i="40"/>
  <c r="F2" i="40"/>
  <c r="M26" i="40"/>
  <c r="E26" i="40"/>
  <c r="O2" i="40"/>
  <c r="G2" i="40"/>
  <c r="K26" i="40"/>
  <c r="G26" i="40"/>
  <c r="O26" i="40"/>
  <c r="M2" i="40"/>
  <c r="I2" i="40"/>
  <c r="E2" i="40"/>
  <c r="I26" i="40"/>
  <c r="K2" i="40"/>
  <c r="C26" i="40"/>
  <c r="N26" i="40"/>
  <c r="J26" i="40"/>
  <c r="F26" i="40"/>
  <c r="L2" i="40"/>
  <c r="H2" i="40"/>
  <c r="D2" i="40"/>
  <c r="G6" i="37" a="1"/>
  <c r="G6" i="37" s="1"/>
  <c r="L21" i="40" a="1"/>
  <c r="D25" i="40" a="1"/>
  <c r="M16" i="40" a="1"/>
  <c r="I13" i="40" a="1"/>
  <c r="H19" i="40" a="1"/>
  <c r="J12" i="40" a="1"/>
  <c r="F12" i="40" a="1"/>
  <c r="L19" i="40" a="1"/>
  <c r="N18" i="40" a="1"/>
  <c r="H8" i="40" a="1"/>
  <c r="O6" i="40" a="1"/>
  <c r="M7" i="40" a="1"/>
  <c r="I19" i="40" a="1"/>
  <c r="H13" i="40" a="1"/>
  <c r="N20" i="40" a="1"/>
  <c r="F19" i="40" a="1"/>
  <c r="K23" i="40" a="1"/>
  <c r="H11" i="40" a="1"/>
  <c r="F18" i="40" a="1"/>
  <c r="K25" i="40" a="1"/>
  <c r="F22" i="40" a="1"/>
  <c r="J14" i="40" a="1"/>
  <c r="F7" i="40" a="1"/>
  <c r="L10" i="40" a="1"/>
  <c r="N24" i="40" a="1"/>
  <c r="J21" i="40" a="1"/>
  <c r="D10" i="40" a="1"/>
  <c r="M18" i="40" a="1"/>
  <c r="C14" i="40" a="1"/>
  <c r="H23" i="40" a="1"/>
  <c r="J6" i="40" a="1"/>
  <c r="F8" i="40" a="1"/>
  <c r="L18" i="40" a="1"/>
  <c r="H14" i="40" a="1"/>
  <c r="K7" i="40" a="1"/>
  <c r="H17" i="40" a="1"/>
  <c r="E12" i="40" a="1"/>
  <c r="O23" i="40" a="1"/>
  <c r="M5" i="40" a="1"/>
  <c r="I10" i="40" a="1"/>
  <c r="E17" i="40" a="1"/>
  <c r="J5" i="40" a="1"/>
  <c r="F16" i="40" a="1"/>
  <c r="K12" i="40" a="1"/>
  <c r="N25" i="40" a="1"/>
  <c r="N10" i="40" a="1"/>
  <c r="O17" i="40" a="1"/>
  <c r="E19" i="40" a="1"/>
  <c r="C20" i="40" a="1"/>
  <c r="D22" i="40" a="1"/>
  <c r="K14" i="40" a="1"/>
  <c r="C18" i="40" a="1"/>
  <c r="H10" i="40" a="1"/>
  <c r="O10" i="40" a="1"/>
  <c r="G9" i="40" a="1"/>
  <c r="L14" i="40" a="1"/>
  <c r="E22" i="40" a="1"/>
  <c r="F21" i="40" a="1"/>
  <c r="D12" i="40" a="1"/>
  <c r="M6" i="40" a="1"/>
  <c r="C15" i="40" a="1"/>
  <c r="H18" i="40" a="1"/>
  <c r="J15" i="40" a="1"/>
  <c r="F9" i="40" a="1"/>
  <c r="L11" i="40" a="1"/>
  <c r="N11" i="40" a="1"/>
  <c r="M24" i="40" a="1"/>
  <c r="N13" i="40" a="1"/>
  <c r="I14" i="40" a="1"/>
  <c r="G10" i="40" a="1"/>
  <c r="M20" i="40" a="1"/>
  <c r="D9" i="40" a="1"/>
  <c r="K15" i="40" a="1"/>
  <c r="C23" i="40" a="1"/>
  <c r="N14" i="40" a="1"/>
  <c r="O11" i="40" a="1"/>
  <c r="G23" i="40" a="1"/>
  <c r="I5" i="40" a="1"/>
  <c r="E24" i="40" a="1"/>
  <c r="D21" i="40" a="1"/>
  <c r="D14" i="40" a="1"/>
  <c r="K22" i="40" a="1"/>
  <c r="C10" i="40" a="1"/>
  <c r="H9" i="40" a="1"/>
  <c r="J17" i="40" a="1"/>
  <c r="G18" i="40" a="1"/>
  <c r="L25" i="40" a="1"/>
  <c r="E16" i="40" a="1"/>
  <c r="K5" i="40" a="1"/>
  <c r="C6" i="40" a="1"/>
  <c r="L16" i="40" a="1"/>
  <c r="O14" i="40" a="1"/>
  <c r="G15" i="40" a="1"/>
  <c r="I24" i="40" a="1"/>
  <c r="E25" i="40" a="1"/>
  <c r="G21" i="40" a="1"/>
  <c r="F25" i="40" a="1"/>
  <c r="K10" i="40" a="1"/>
  <c r="C8" i="40" a="1"/>
  <c r="C11" i="40" a="1"/>
  <c r="O18" i="40" a="1"/>
  <c r="G19" i="40" a="1"/>
  <c r="I16" i="40" a="1"/>
  <c r="C21" i="40" a="1"/>
  <c r="N5" i="40" a="1"/>
  <c r="M21" i="40" a="1"/>
  <c r="H21" i="40" a="1"/>
  <c r="D16" i="40" a="1"/>
  <c r="M9" i="40" a="1"/>
  <c r="C22" i="40" a="1"/>
  <c r="H24" i="40" a="1"/>
  <c r="J8" i="40" a="1"/>
  <c r="G24" i="40" a="1"/>
  <c r="L12" i="40" a="1"/>
  <c r="N7" i="40" a="1"/>
  <c r="J20" i="40" a="1"/>
  <c r="D8" i="40" a="1"/>
  <c r="J19" i="40" a="1"/>
  <c r="J10" i="40" a="1"/>
  <c r="F11" i="40" a="1"/>
  <c r="K8" i="40" a="1"/>
  <c r="N16" i="40" a="1"/>
  <c r="H7" i="40" a="1"/>
  <c r="O8" i="40" a="1"/>
  <c r="M13" i="40" a="1"/>
  <c r="I23" i="40" a="1"/>
  <c r="H5" i="40" a="1"/>
  <c r="J18" i="40" a="1"/>
  <c r="F6" i="40" a="1"/>
  <c r="K11" i="40" a="1"/>
  <c r="N19" i="40" a="1"/>
  <c r="N12" i="40" a="1"/>
  <c r="O24" i="40" a="1"/>
  <c r="G16" i="40" a="1"/>
  <c r="I15" i="40" a="1"/>
  <c r="C24" i="40" a="1"/>
  <c r="I11" i="40" a="1"/>
  <c r="L20" i="40" a="1"/>
  <c r="M23" i="40" a="1"/>
  <c r="D5" i="40" a="1"/>
  <c r="J13" i="40" a="1"/>
  <c r="F13" i="40" a="1"/>
  <c r="L23" i="40" a="1"/>
  <c r="N23" i="40" a="1"/>
  <c r="O21" i="40" a="1"/>
  <c r="D23" i="40" a="1"/>
  <c r="M15" i="40" a="1"/>
  <c r="I9" i="40" a="1"/>
  <c r="H15" i="40" a="1"/>
  <c r="J23" i="40" a="1"/>
  <c r="F24" i="40" a="1"/>
  <c r="L5" i="40" a="1"/>
  <c r="N6" i="40" a="1"/>
  <c r="E18" i="40" a="1"/>
  <c r="O25" i="40" a="1"/>
  <c r="G6" i="40" a="1"/>
  <c r="I17" i="40" a="1"/>
  <c r="H16" i="40" a="1"/>
  <c r="L22" i="40" a="1"/>
  <c r="N17" i="40" a="1"/>
  <c r="I20" i="40" a="1"/>
  <c r="D11" i="40" a="1"/>
  <c r="M19" i="40" a="1"/>
  <c r="C5" i="40" a="1"/>
  <c r="H25" i="40" a="1"/>
  <c r="J24" i="40" a="1"/>
  <c r="G5" i="40" a="1"/>
  <c r="L8" i="40" a="1"/>
  <c r="N22" i="40" a="1"/>
  <c r="O20" i="40" a="1"/>
  <c r="D19" i="40" a="1"/>
  <c r="M25" i="40" a="1"/>
  <c r="I8" i="40" a="1"/>
  <c r="O15" i="40" a="1"/>
  <c r="M17" i="40" a="1"/>
  <c r="D6" i="40" a="1"/>
  <c r="N21" i="40" a="1"/>
  <c r="F17" i="40" a="1"/>
  <c r="K19" i="40" a="1"/>
  <c r="N15" i="40" a="1"/>
  <c r="H12" i="40" a="1"/>
  <c r="O19" i="40" a="1"/>
  <c r="M11" i="40" a="1"/>
  <c r="I7" i="40" a="1"/>
  <c r="E10" i="40" a="1"/>
  <c r="G20" i="40" a="1"/>
  <c r="G8" i="40" a="1"/>
  <c r="G13" i="40" a="1"/>
  <c r="O5" i="40" a="1"/>
  <c r="G11" i="40" a="1"/>
  <c r="L15" i="40" a="1"/>
  <c r="E11" i="40" a="1"/>
  <c r="D20" i="40" a="1"/>
  <c r="D15" i="40" a="1"/>
  <c r="K13" i="40" a="1"/>
  <c r="C17" i="40" a="1"/>
  <c r="H6" i="40" a="1"/>
  <c r="J9" i="40" a="1"/>
  <c r="G22" i="40" a="1"/>
  <c r="L24" i="40" a="1"/>
  <c r="E5" i="40" a="1"/>
  <c r="I21" i="40" a="1"/>
  <c r="D18" i="40" a="1"/>
  <c r="I6" i="40" a="1"/>
  <c r="O12" i="40" a="1"/>
  <c r="G25" i="40" a="1"/>
  <c r="L7" i="40" a="1"/>
  <c r="E7" i="40" a="1"/>
  <c r="K21" i="40" a="1"/>
  <c r="D7" i="40" a="1"/>
  <c r="K9" i="40" a="1"/>
  <c r="C19" i="40" a="1"/>
  <c r="C9" i="40" a="1"/>
  <c r="O9" i="40" a="1"/>
  <c r="G14" i="40" a="1"/>
  <c r="L6" i="40" a="1"/>
  <c r="E14" i="40" a="1"/>
  <c r="H20" i="40" a="1"/>
  <c r="D17" i="40" a="1"/>
  <c r="M10" i="40" a="1"/>
  <c r="C25" i="40" a="1"/>
  <c r="J7" i="40" a="1"/>
  <c r="F23" i="40" a="1"/>
  <c r="O22" i="40" a="1"/>
  <c r="E20" i="40" a="1"/>
  <c r="F14" i="40" a="1"/>
  <c r="K17" i="40" a="1"/>
  <c r="C7" i="40" a="1"/>
  <c r="E13" i="40" a="1"/>
  <c r="O13" i="40" a="1"/>
  <c r="G7" i="40" a="1"/>
  <c r="I22" i="40" a="1"/>
  <c r="E23" i="40" a="1"/>
  <c r="K20" i="40" a="1"/>
  <c r="F5" i="40" a="1"/>
  <c r="K24" i="40" a="1"/>
  <c r="C12" i="40" a="1"/>
  <c r="G12" i="40" a="1"/>
  <c r="C13" i="40" a="1"/>
  <c r="K16" i="40" a="1"/>
  <c r="J16" i="40" a="1"/>
  <c r="G17" i="40" a="1"/>
  <c r="L13" i="40" a="1"/>
  <c r="N8" i="40" a="1"/>
  <c r="F20" i="40" a="1"/>
  <c r="D13" i="40" a="1"/>
  <c r="M8" i="40" a="1"/>
  <c r="C16" i="40" a="1"/>
  <c r="H22" i="40" a="1"/>
  <c r="J22" i="40" a="1"/>
  <c r="L17" i="40" a="1"/>
  <c r="L9" i="40" a="1"/>
  <c r="O7" i="40" a="1"/>
  <c r="M14" i="40" a="1"/>
  <c r="I25" i="40" a="1"/>
  <c r="E6" i="40" a="1"/>
  <c r="J25" i="40" a="1"/>
  <c r="F10" i="40" a="1"/>
  <c r="K6" i="40" a="1"/>
  <c r="N9" i="40" a="1"/>
  <c r="E15" i="40" a="1"/>
  <c r="O16" i="40" a="1"/>
  <c r="M12" i="40" a="1"/>
  <c r="I12" i="40" a="1"/>
  <c r="E9" i="40" a="1"/>
  <c r="E21" i="40" a="1"/>
  <c r="F15" i="40" a="1"/>
  <c r="K18" i="40" a="1"/>
  <c r="E8" i="40" a="1"/>
  <c r="D24" i="40" a="1"/>
  <c r="I18" i="40" a="1"/>
  <c r="M22" i="40" a="1"/>
  <c r="J11" i="40" a="1"/>
  <c r="L52" i="40" l="1" a="1"/>
  <c r="N21" i="40"/>
  <c r="N20" i="40"/>
  <c r="G20" i="40"/>
  <c r="G21" i="40"/>
  <c r="E20" i="40"/>
  <c r="E21" i="40"/>
  <c r="K20" i="40"/>
  <c r="K21" i="40"/>
  <c r="M20" i="40"/>
  <c r="M21" i="40"/>
  <c r="D21" i="40"/>
  <c r="D20" i="40"/>
  <c r="C20" i="40"/>
  <c r="C21" i="40"/>
  <c r="F21" i="40"/>
  <c r="F20" i="40"/>
  <c r="H21" i="40"/>
  <c r="H20" i="40"/>
  <c r="J20" i="40"/>
  <c r="J21" i="40"/>
  <c r="I20" i="40"/>
  <c r="I21" i="40"/>
  <c r="O20" i="40"/>
  <c r="O21" i="40"/>
  <c r="L21" i="40"/>
  <c r="L20" i="40"/>
  <c r="H7" i="40"/>
  <c r="H9" i="40"/>
  <c r="H6" i="40"/>
  <c r="H10" i="40"/>
  <c r="H11" i="40"/>
  <c r="H18" i="40"/>
  <c r="H22" i="40"/>
  <c r="H24" i="40"/>
  <c r="H16" i="40"/>
  <c r="H17" i="40"/>
  <c r="H23" i="40"/>
  <c r="H25" i="40"/>
  <c r="H8" i="40"/>
  <c r="H14" i="40"/>
  <c r="H15" i="40"/>
  <c r="H19" i="40"/>
  <c r="H12" i="40"/>
  <c r="H13" i="40"/>
  <c r="H5" i="40"/>
  <c r="E6" i="40"/>
  <c r="E8" i="40"/>
  <c r="E9" i="40"/>
  <c r="E10" i="40"/>
  <c r="E17" i="40"/>
  <c r="E18" i="40"/>
  <c r="E19" i="40"/>
  <c r="E23" i="40"/>
  <c r="E25" i="40"/>
  <c r="E15" i="40"/>
  <c r="E16" i="40"/>
  <c r="E24" i="40"/>
  <c r="E7" i="40"/>
  <c r="E13" i="40"/>
  <c r="E14" i="40"/>
  <c r="E22" i="40"/>
  <c r="E11" i="40"/>
  <c r="E12" i="40"/>
  <c r="E5" i="40"/>
  <c r="N7" i="40"/>
  <c r="N8" i="40"/>
  <c r="N12" i="40"/>
  <c r="N13" i="40"/>
  <c r="N22" i="40"/>
  <c r="N24" i="40"/>
  <c r="N10" i="40"/>
  <c r="N11" i="40"/>
  <c r="N18" i="40"/>
  <c r="N23" i="40"/>
  <c r="N14" i="40"/>
  <c r="N6" i="40"/>
  <c r="N9" i="40"/>
  <c r="N16" i="40"/>
  <c r="N17" i="40"/>
  <c r="N19" i="40"/>
  <c r="N25" i="40"/>
  <c r="N15" i="40"/>
  <c r="N5" i="40"/>
  <c r="C6" i="40"/>
  <c r="C8" i="40"/>
  <c r="C7" i="40"/>
  <c r="C11" i="40"/>
  <c r="C12" i="40"/>
  <c r="C19" i="40"/>
  <c r="C23" i="40"/>
  <c r="C25" i="40"/>
  <c r="C10" i="40"/>
  <c r="C17" i="40"/>
  <c r="C18" i="40"/>
  <c r="C9" i="40"/>
  <c r="C15" i="40"/>
  <c r="C16" i="40"/>
  <c r="C22" i="40"/>
  <c r="C24" i="40"/>
  <c r="C13" i="40"/>
  <c r="C14" i="40"/>
  <c r="C5" i="40"/>
  <c r="I6" i="40"/>
  <c r="I8" i="40"/>
  <c r="I9" i="40"/>
  <c r="I13" i="40"/>
  <c r="I14" i="40"/>
  <c r="I19" i="40"/>
  <c r="I23" i="40"/>
  <c r="I25" i="40"/>
  <c r="I11" i="40"/>
  <c r="I12" i="40"/>
  <c r="I7" i="40"/>
  <c r="I10" i="40"/>
  <c r="I17" i="40"/>
  <c r="I18" i="40"/>
  <c r="I22" i="40"/>
  <c r="I24" i="40"/>
  <c r="I15" i="40"/>
  <c r="I16" i="40"/>
  <c r="I5" i="40"/>
  <c r="L7" i="40"/>
  <c r="L9" i="40"/>
  <c r="L6" i="40"/>
  <c r="L14" i="40"/>
  <c r="L15" i="40"/>
  <c r="L22" i="40"/>
  <c r="L24" i="40"/>
  <c r="L12" i="40"/>
  <c r="L13" i="40"/>
  <c r="L25" i="40"/>
  <c r="L17" i="40"/>
  <c r="L8" i="40"/>
  <c r="L10" i="40"/>
  <c r="L11" i="40"/>
  <c r="L18" i="40"/>
  <c r="L19" i="40"/>
  <c r="L23" i="40"/>
  <c r="L16" i="40"/>
  <c r="L5" i="40"/>
  <c r="K6" i="40"/>
  <c r="K8" i="40"/>
  <c r="K7" i="40"/>
  <c r="K11" i="40"/>
  <c r="K12" i="40"/>
  <c r="K19" i="40"/>
  <c r="K23" i="40"/>
  <c r="K25" i="40"/>
  <c r="K10" i="40"/>
  <c r="K17" i="40"/>
  <c r="K18" i="40"/>
  <c r="K24" i="40"/>
  <c r="K9" i="40"/>
  <c r="K15" i="40"/>
  <c r="K16" i="40"/>
  <c r="K22" i="40"/>
  <c r="K13" i="40"/>
  <c r="K14" i="40"/>
  <c r="K5" i="40"/>
  <c r="M6" i="40"/>
  <c r="M8" i="40"/>
  <c r="M9" i="40"/>
  <c r="M10" i="40"/>
  <c r="M17" i="40"/>
  <c r="M18" i="40"/>
  <c r="M19" i="40"/>
  <c r="M23" i="40"/>
  <c r="M25" i="40"/>
  <c r="M15" i="40"/>
  <c r="M16" i="40"/>
  <c r="M22" i="40"/>
  <c r="M7" i="40"/>
  <c r="M13" i="40"/>
  <c r="M14" i="40"/>
  <c r="M24" i="40"/>
  <c r="M12" i="40"/>
  <c r="M11" i="40"/>
  <c r="M5" i="40"/>
  <c r="G6" i="40"/>
  <c r="G8" i="40"/>
  <c r="G7" i="40"/>
  <c r="G15" i="40"/>
  <c r="G16" i="40"/>
  <c r="G19" i="40"/>
  <c r="G23" i="40"/>
  <c r="G25" i="40"/>
  <c r="G13" i="40"/>
  <c r="G14" i="40"/>
  <c r="G9" i="40"/>
  <c r="G11" i="40"/>
  <c r="G12" i="40"/>
  <c r="G22" i="40"/>
  <c r="G24" i="40"/>
  <c r="G17" i="40"/>
  <c r="G18" i="40"/>
  <c r="G10" i="40"/>
  <c r="G5" i="40"/>
  <c r="F7" i="40"/>
  <c r="F9" i="40"/>
  <c r="F8" i="40"/>
  <c r="F12" i="40"/>
  <c r="F13" i="40"/>
  <c r="F22" i="40"/>
  <c r="F24" i="40"/>
  <c r="F10" i="40"/>
  <c r="F11" i="40"/>
  <c r="F18" i="40"/>
  <c r="F6" i="40"/>
  <c r="F16" i="40"/>
  <c r="F17" i="40"/>
  <c r="F19" i="40"/>
  <c r="F23" i="40"/>
  <c r="F25" i="40"/>
  <c r="F14" i="40"/>
  <c r="F15" i="40"/>
  <c r="F5" i="40"/>
  <c r="D7" i="40"/>
  <c r="D9" i="40"/>
  <c r="D6" i="40"/>
  <c r="D14" i="40"/>
  <c r="D15" i="40"/>
  <c r="D22" i="40"/>
  <c r="D24" i="40"/>
  <c r="D12" i="40"/>
  <c r="D13" i="40"/>
  <c r="D16" i="40"/>
  <c r="D17" i="40"/>
  <c r="D8" i="40"/>
  <c r="D10" i="40"/>
  <c r="D11" i="40"/>
  <c r="D18" i="40"/>
  <c r="D19" i="40"/>
  <c r="D23" i="40"/>
  <c r="D25" i="40"/>
  <c r="D5" i="40"/>
  <c r="O6" i="40"/>
  <c r="O8" i="40"/>
  <c r="O7" i="40"/>
  <c r="O15" i="40"/>
  <c r="O16" i="40"/>
  <c r="O19" i="40"/>
  <c r="O23" i="40"/>
  <c r="O25" i="40"/>
  <c r="O17" i="40"/>
  <c r="O13" i="40"/>
  <c r="O14" i="40"/>
  <c r="O24" i="40"/>
  <c r="O18" i="40"/>
  <c r="O11" i="40"/>
  <c r="O12" i="40"/>
  <c r="O22" i="40"/>
  <c r="O9" i="40"/>
  <c r="O10" i="40"/>
  <c r="O5" i="40"/>
  <c r="J7" i="40"/>
  <c r="J9" i="40"/>
  <c r="J8" i="40"/>
  <c r="J16" i="40"/>
  <c r="J17" i="40"/>
  <c r="J22" i="40"/>
  <c r="J24" i="40"/>
  <c r="J14" i="40"/>
  <c r="J15" i="40"/>
  <c r="J6" i="40"/>
  <c r="J12" i="40"/>
  <c r="J13" i="40"/>
  <c r="J19" i="40"/>
  <c r="J23" i="40"/>
  <c r="J25" i="40"/>
  <c r="J10" i="40"/>
  <c r="J11" i="40"/>
  <c r="J18" i="40"/>
  <c r="J5" i="40"/>
  <c r="E2" i="37"/>
  <c r="K11" i="37" a="1"/>
  <c r="N11" i="37" a="1"/>
  <c r="W10" i="37" a="1"/>
  <c r="M11" i="37" a="1"/>
  <c r="I11" i="37" a="1"/>
  <c r="H11" i="37" a="1"/>
  <c r="N11" i="37" l="1"/>
  <c r="L52" i="40"/>
  <c r="E65" i="40" s="1"/>
  <c r="AM15" i="37"/>
  <c r="AN12" i="37"/>
  <c r="AN16" i="37"/>
  <c r="AN20" i="37"/>
  <c r="AN24" i="37"/>
  <c r="AN28" i="37"/>
  <c r="AN32" i="37"/>
  <c r="AN36" i="37"/>
  <c r="AN40" i="37"/>
  <c r="AN44" i="37"/>
  <c r="AN48" i="37"/>
  <c r="AN52" i="37"/>
  <c r="AN13" i="37"/>
  <c r="AN17" i="37"/>
  <c r="AN21" i="37"/>
  <c r="AN29" i="37"/>
  <c r="AN33" i="37"/>
  <c r="AN37" i="37"/>
  <c r="AN41" i="37"/>
  <c r="AN49" i="37"/>
  <c r="AN25" i="37"/>
  <c r="AN45" i="37"/>
  <c r="AN53" i="37"/>
  <c r="AN14" i="37"/>
  <c r="AN18" i="37"/>
  <c r="AN22" i="37"/>
  <c r="AN26" i="37"/>
  <c r="AN30" i="37"/>
  <c r="AN34" i="37"/>
  <c r="AN38" i="37"/>
  <c r="AN42" i="37"/>
  <c r="AN46" i="37"/>
  <c r="AN50" i="37"/>
  <c r="AN54" i="37"/>
  <c r="AN15" i="37"/>
  <c r="AN19" i="37"/>
  <c r="AN23" i="37"/>
  <c r="AN27" i="37"/>
  <c r="AN31" i="37"/>
  <c r="AN35" i="37"/>
  <c r="AN39" i="37"/>
  <c r="AN43" i="37"/>
  <c r="AN47" i="37"/>
  <c r="AN51" i="37"/>
  <c r="AN11" i="37"/>
  <c r="AM11" i="37"/>
  <c r="AM19" i="37"/>
  <c r="AM23" i="37"/>
  <c r="AM27" i="37"/>
  <c r="AM31" i="37"/>
  <c r="AM35" i="37"/>
  <c r="AM39" i="37"/>
  <c r="AM40" i="37"/>
  <c r="AM22" i="37"/>
  <c r="AM34" i="37"/>
  <c r="AM12" i="37"/>
  <c r="AM16" i="37"/>
  <c r="AM20" i="37"/>
  <c r="AM24" i="37"/>
  <c r="AM28" i="37"/>
  <c r="AM32" i="37"/>
  <c r="AM36" i="37"/>
  <c r="AM26" i="37"/>
  <c r="AM38" i="37"/>
  <c r="AM13" i="37"/>
  <c r="AM17" i="37"/>
  <c r="AM21" i="37"/>
  <c r="AM25" i="37"/>
  <c r="AM29" i="37"/>
  <c r="AM33" i="37"/>
  <c r="AM37" i="37"/>
  <c r="AM14" i="37"/>
  <c r="AM18" i="37"/>
  <c r="AM30" i="37"/>
  <c r="AM42" i="37"/>
  <c r="V42" i="37" s="1"/>
  <c r="AM46" i="37"/>
  <c r="AM50" i="37"/>
  <c r="AM54" i="37"/>
  <c r="AM53" i="37"/>
  <c r="V53" i="37" s="1"/>
  <c r="AM43" i="37"/>
  <c r="AM47" i="37"/>
  <c r="AM51" i="37"/>
  <c r="AM44" i="37"/>
  <c r="AM48" i="37"/>
  <c r="AM52" i="37"/>
  <c r="AM45" i="37"/>
  <c r="AM49" i="37"/>
  <c r="AM41" i="37"/>
  <c r="H11" i="37"/>
  <c r="I11" i="37"/>
  <c r="K11" i="37"/>
  <c r="M11" i="37"/>
  <c r="W10" i="37"/>
  <c r="R3" i="37"/>
  <c r="D5" i="37" s="1"/>
  <c r="E172" i="40" l="1"/>
  <c r="E133" i="40"/>
  <c r="E137" i="40"/>
  <c r="E157" i="40"/>
  <c r="E129" i="40"/>
  <c r="E58" i="40"/>
  <c r="E111" i="40"/>
  <c r="E193" i="40"/>
  <c r="E165" i="40"/>
  <c r="E76" i="40"/>
  <c r="E149" i="40"/>
  <c r="E132" i="40"/>
  <c r="E90" i="40"/>
  <c r="E96" i="40"/>
  <c r="E177" i="40"/>
  <c r="E183" i="40"/>
  <c r="E156" i="40"/>
  <c r="E188" i="40"/>
  <c r="E53" i="40"/>
  <c r="E194" i="40"/>
  <c r="E64" i="40"/>
  <c r="E198" i="40"/>
  <c r="E72" i="40"/>
  <c r="E81" i="40"/>
  <c r="E100" i="40"/>
  <c r="E123" i="40"/>
  <c r="E82" i="40"/>
  <c r="E74" i="40"/>
  <c r="E169" i="40"/>
  <c r="E166" i="40"/>
  <c r="E128" i="40"/>
  <c r="E79" i="40"/>
  <c r="E174" i="40"/>
  <c r="E115" i="40"/>
  <c r="E61" i="40"/>
  <c r="E88" i="40"/>
  <c r="E161" i="40"/>
  <c r="E180" i="40"/>
  <c r="E203" i="40"/>
  <c r="E86" i="40"/>
  <c r="E99" i="40"/>
  <c r="E158" i="40"/>
  <c r="E138" i="40"/>
  <c r="E143" i="40"/>
  <c r="E201" i="40"/>
  <c r="E83" i="40"/>
  <c r="E121" i="40"/>
  <c r="E179" i="40"/>
  <c r="E71" i="40"/>
  <c r="E125" i="40"/>
  <c r="E150" i="40"/>
  <c r="E152" i="40"/>
  <c r="E127" i="40"/>
  <c r="E67" i="40"/>
  <c r="E117" i="40"/>
  <c r="E134" i="40"/>
  <c r="E140" i="40"/>
  <c r="E178" i="40"/>
  <c r="E112" i="40"/>
  <c r="E185" i="40"/>
  <c r="E98" i="40"/>
  <c r="E85" i="40"/>
  <c r="E70" i="40"/>
  <c r="E108" i="40"/>
  <c r="E114" i="40"/>
  <c r="E167" i="40"/>
  <c r="E142" i="40"/>
  <c r="E144" i="40"/>
  <c r="E170" i="40"/>
  <c r="E159" i="40"/>
  <c r="E59" i="40"/>
  <c r="E176" i="40"/>
  <c r="E91" i="40"/>
  <c r="E162" i="40"/>
  <c r="E151" i="40"/>
  <c r="E54" i="40"/>
  <c r="E105" i="40"/>
  <c r="E110" i="40"/>
  <c r="E68" i="40"/>
  <c r="M60" i="40"/>
  <c r="E163" i="40"/>
  <c r="E192" i="40"/>
  <c r="E55" i="40"/>
  <c r="E84" i="40"/>
  <c r="E109" i="40"/>
  <c r="E62" i="40"/>
  <c r="E118" i="40"/>
  <c r="E107" i="40"/>
  <c r="E136" i="40"/>
  <c r="E126" i="40"/>
  <c r="E93" i="40"/>
  <c r="E155" i="40"/>
  <c r="E145" i="40"/>
  <c r="E130" i="40"/>
  <c r="E190" i="40"/>
  <c r="E135" i="40"/>
  <c r="E164" i="40"/>
  <c r="E189" i="40"/>
  <c r="E60" i="40"/>
  <c r="E89" i="40"/>
  <c r="E187" i="40"/>
  <c r="E78" i="40"/>
  <c r="E106" i="40"/>
  <c r="E92" i="40"/>
  <c r="E184" i="40"/>
  <c r="E131" i="40"/>
  <c r="E160" i="40"/>
  <c r="E181" i="40"/>
  <c r="E202" i="40"/>
  <c r="E77" i="40"/>
  <c r="E175" i="40"/>
  <c r="E204" i="40"/>
  <c r="E75" i="40"/>
  <c r="E104" i="40"/>
  <c r="E147" i="40"/>
  <c r="E69" i="40"/>
  <c r="E63" i="40"/>
  <c r="E56" i="40"/>
  <c r="E119" i="40"/>
  <c r="E148" i="40"/>
  <c r="E173" i="40"/>
  <c r="E186" i="40"/>
  <c r="E73" i="40"/>
  <c r="E171" i="40"/>
  <c r="E200" i="40"/>
  <c r="E197" i="40"/>
  <c r="E191" i="40"/>
  <c r="E120" i="40"/>
  <c r="E52" i="40"/>
  <c r="E80" i="40"/>
  <c r="E101" i="40"/>
  <c r="E199" i="40"/>
  <c r="E102" i="40"/>
  <c r="E95" i="40"/>
  <c r="E124" i="40"/>
  <c r="E153" i="40"/>
  <c r="E146" i="40"/>
  <c r="E113" i="40"/>
  <c r="E196" i="40"/>
  <c r="E57" i="40"/>
  <c r="E97" i="40"/>
  <c r="E195" i="40"/>
  <c r="E94" i="40"/>
  <c r="E87" i="40"/>
  <c r="E116" i="40"/>
  <c r="E141" i="40"/>
  <c r="E122" i="40"/>
  <c r="E182" i="40"/>
  <c r="E139" i="40"/>
  <c r="E168" i="40"/>
  <c r="E66" i="40"/>
  <c r="E103" i="40"/>
  <c r="E154" i="40"/>
  <c r="V25" i="37"/>
  <c r="V39" i="37"/>
  <c r="V23" i="37"/>
  <c r="V21" i="37"/>
  <c r="V27" i="37"/>
  <c r="V31" i="37"/>
  <c r="V35" i="37"/>
  <c r="V19" i="37"/>
  <c r="V15" i="37"/>
  <c r="V44" i="37"/>
  <c r="V37" i="37"/>
  <c r="V45" i="37"/>
  <c r="V54" i="37"/>
  <c r="V17" i="37"/>
  <c r="V43" i="37"/>
  <c r="V38" i="37"/>
  <c r="V28" i="37"/>
  <c r="V12" i="37"/>
  <c r="V32" i="37"/>
  <c r="V16" i="37"/>
  <c r="V41" i="37"/>
  <c r="V48" i="37"/>
  <c r="V46" i="37"/>
  <c r="V14" i="37"/>
  <c r="V26" i="37"/>
  <c r="V47" i="37"/>
  <c r="V49" i="37"/>
  <c r="V22" i="37"/>
  <c r="V24" i="37"/>
  <c r="V51" i="37"/>
  <c r="V30" i="37"/>
  <c r="V33" i="37"/>
  <c r="V36" i="37"/>
  <c r="V20" i="37"/>
  <c r="V34" i="37"/>
  <c r="V52" i="37"/>
  <c r="V50" i="37"/>
  <c r="V18" i="37"/>
  <c r="V29" i="37"/>
  <c r="V13" i="37"/>
  <c r="V40" i="37"/>
  <c r="V11" i="37"/>
  <c r="D6" i="37"/>
  <c r="G11" i="37" a="1"/>
  <c r="T35" i="37" a="1"/>
  <c r="D52" i="37" a="1"/>
  <c r="F53" i="37" a="1"/>
  <c r="C36" i="37" a="1"/>
  <c r="R52" i="37" a="1"/>
  <c r="E54" i="37" a="1"/>
  <c r="E37" i="37" a="1"/>
  <c r="T42" i="37" a="1"/>
  <c r="O30" i="37" a="1"/>
  <c r="R11" i="37" a="1"/>
  <c r="F37" i="37" a="1"/>
  <c r="R45" i="37" a="1"/>
  <c r="O52" i="37" a="1"/>
  <c r="F14" i="37" a="1"/>
  <c r="T53" i="37" a="1"/>
  <c r="C40" i="37" a="1"/>
  <c r="O33" i="37" a="1"/>
  <c r="P44" i="37" a="1"/>
  <c r="O18" i="37" a="1"/>
  <c r="P35" i="37" a="1"/>
  <c r="D47" i="37" a="1"/>
  <c r="F36" i="37" a="1"/>
  <c r="F48" i="37" a="1"/>
  <c r="K7" i="37" a="1"/>
  <c r="D36" i="37" a="1"/>
  <c r="E40" i="37" a="1"/>
  <c r="F52" i="37" a="1"/>
  <c r="T37" i="37" a="1"/>
  <c r="B39" i="37" a="1"/>
  <c r="E51" i="37" a="1"/>
  <c r="O27" i="37" a="1"/>
  <c r="F46" i="37" a="1"/>
  <c r="O47" i="37" a="1"/>
  <c r="Q43" i="37" a="1"/>
  <c r="R35" i="37" a="1"/>
  <c r="B46" i="37" a="1"/>
  <c r="R38" i="37" a="1"/>
  <c r="Q39" i="37" a="1"/>
  <c r="G38" i="37" a="1"/>
  <c r="S44" i="37" a="1"/>
  <c r="G48" i="37" a="1"/>
  <c r="R44" i="37" a="1"/>
  <c r="B45" i="37" a="1"/>
  <c r="R46" i="37" a="1"/>
  <c r="O29" i="37" a="1"/>
  <c r="C44" i="37" a="1"/>
  <c r="R48" i="37" a="1"/>
  <c r="T44" i="37" a="1"/>
  <c r="R54" i="37" a="1"/>
  <c r="B42" i="37" a="1"/>
  <c r="G51" i="37" a="1"/>
  <c r="G44" i="37" a="1"/>
  <c r="F39" i="37" a="1"/>
  <c r="O49" i="37" a="1"/>
  <c r="C39" i="37" a="1"/>
  <c r="G53" i="37" a="1"/>
  <c r="C42" i="37" a="1"/>
  <c r="Q46" i="37" a="1"/>
  <c r="S38" i="37" a="1"/>
  <c r="F50" i="37" a="1"/>
  <c r="P47" i="37" a="1"/>
  <c r="R51" i="37" a="1"/>
  <c r="B54" i="37" a="1"/>
  <c r="R43" i="37" a="1"/>
  <c r="P42" i="37" a="1"/>
  <c r="Q41" i="37" a="1"/>
  <c r="P54" i="37" a="1"/>
  <c r="F35" i="37" a="1"/>
  <c r="C49" i="37" a="1"/>
  <c r="P40" i="37" a="1"/>
  <c r="F23" i="37" a="1"/>
  <c r="D40" i="37" a="1"/>
  <c r="R40" i="37" a="1"/>
  <c r="O23" i="37" a="1"/>
  <c r="O13" i="37" a="1"/>
  <c r="Q44" i="37" a="1"/>
  <c r="F41" i="37" a="1"/>
  <c r="E11" i="37" a="1"/>
  <c r="S37" i="37" a="1"/>
  <c r="O24" i="37" a="1"/>
  <c r="G40" i="37" a="1"/>
  <c r="O14" i="37" a="1"/>
  <c r="O51" i="37" a="1"/>
  <c r="B37" i="37" a="1"/>
  <c r="C47" i="37" a="1"/>
  <c r="T36" i="37" a="1"/>
  <c r="S45" i="37" a="1"/>
  <c r="E38" i="37" a="1"/>
  <c r="P49" i="37" a="1"/>
  <c r="Q35" i="37" a="1"/>
  <c r="O16" i="37" a="1"/>
  <c r="C45" i="37" a="1"/>
  <c r="G36" i="37" a="1"/>
  <c r="D42" i="37" a="1"/>
  <c r="Q48" i="37" a="1"/>
  <c r="T47" i="37" a="1"/>
  <c r="O12" i="37" a="1"/>
  <c r="S35" i="37" a="1"/>
  <c r="E44" i="37" a="1"/>
  <c r="S48" i="37" a="1"/>
  <c r="E45" i="37" a="1"/>
  <c r="P38" i="37" a="1"/>
  <c r="T54" i="37" a="1"/>
  <c r="O43" i="37" a="1"/>
  <c r="T45" i="37" a="1"/>
  <c r="Q42" i="37" a="1"/>
  <c r="O48" i="37" a="1"/>
  <c r="O41" i="37" a="1"/>
  <c r="G35" i="37" a="1"/>
  <c r="T40" i="37" a="1"/>
  <c r="E39" i="37" a="1"/>
  <c r="B41" i="37" a="1"/>
  <c r="D41" i="37" a="1"/>
  <c r="Q38" i="37" a="1"/>
  <c r="P36" i="37" a="1"/>
  <c r="G49" i="37" a="1"/>
  <c r="F11" i="37" a="1"/>
  <c r="O37" i="37" a="1"/>
  <c r="S42" i="37" a="1"/>
  <c r="D48" i="37" a="1"/>
  <c r="P43" i="37" a="1"/>
  <c r="T52" i="37" a="1"/>
  <c r="S46" i="37" a="1"/>
  <c r="B51" i="37" a="1"/>
  <c r="C43" i="37" a="1"/>
  <c r="T38" i="37" a="1"/>
  <c r="Q53" i="37" a="1"/>
  <c r="G43" i="37" a="1"/>
  <c r="D54" i="37" a="1"/>
  <c r="D46" i="37" a="1"/>
  <c r="T11" i="37" a="1"/>
  <c r="G52" i="37" a="1"/>
  <c r="G47" i="37" a="1"/>
  <c r="O21" i="37" a="1"/>
  <c r="R53" i="37" a="1"/>
  <c r="B52" i="37" a="1"/>
  <c r="P41" i="37" a="1"/>
  <c r="O54" i="37" a="1"/>
  <c r="R39" i="37" a="1"/>
  <c r="O46" i="37" a="1"/>
  <c r="F44" i="37" a="1"/>
  <c r="O31" i="37" a="1"/>
  <c r="D43" i="37" a="1"/>
  <c r="P52" i="37" a="1"/>
  <c r="G45" i="37" a="1"/>
  <c r="O26" i="37" a="1"/>
  <c r="B35" i="37" a="1"/>
  <c r="F51" i="37" a="1"/>
  <c r="C51" i="37" a="1"/>
  <c r="F45" i="37" a="1"/>
  <c r="T50" i="37" a="1"/>
  <c r="Q51" i="37" a="1"/>
  <c r="T46" i="37" a="1"/>
  <c r="T39" i="37" a="1"/>
  <c r="D38" i="37" a="1"/>
  <c r="B11" i="37" a="1"/>
  <c r="F40" i="37" a="1"/>
  <c r="O38" i="37" a="1"/>
  <c r="C48" i="37" a="1"/>
  <c r="D51" i="37" a="1"/>
  <c r="B50" i="37" a="1"/>
  <c r="Q52" i="37" a="1"/>
  <c r="F49" i="37" a="1"/>
  <c r="O32" i="37" a="1"/>
  <c r="P37" i="37" a="1"/>
  <c r="E50" i="37" a="1"/>
  <c r="O22" i="37" a="1"/>
  <c r="O44" i="37" a="1"/>
  <c r="R41" i="37" a="1"/>
  <c r="C53" i="37" a="1"/>
  <c r="S49" i="37" a="1"/>
  <c r="E46" i="37" a="1"/>
  <c r="E47" i="37" a="1"/>
  <c r="S41" i="37" a="1"/>
  <c r="P39" i="37" a="1"/>
  <c r="D49" i="37" a="1"/>
  <c r="Q37" i="37" a="1"/>
  <c r="B53" i="37" a="1"/>
  <c r="D50" i="37" a="1"/>
  <c r="C50" i="37" a="1"/>
  <c r="B40" i="37" a="1"/>
  <c r="B38" i="37" a="1"/>
  <c r="Q45" i="37" a="1"/>
  <c r="O34" i="37" a="1"/>
  <c r="T49" i="37" a="1"/>
  <c r="S40" i="37" a="1"/>
  <c r="E35" i="37" a="1"/>
  <c r="D35" i="37" a="1"/>
  <c r="B49" i="37" a="1"/>
  <c r="C35" i="37" a="1"/>
  <c r="O45" i="37" a="1"/>
  <c r="G41" i="37" a="1"/>
  <c r="S47" i="37" a="1"/>
  <c r="R42" i="37" a="1"/>
  <c r="O11" i="37" a="1"/>
  <c r="S43" i="37" a="1"/>
  <c r="R37" i="37" a="1"/>
  <c r="P51" i="37" a="1"/>
  <c r="Q50" i="37" a="1"/>
  <c r="P45" i="37" a="1"/>
  <c r="S11" i="37" a="1"/>
  <c r="O42" i="37" a="1"/>
  <c r="D11" i="37" a="1"/>
  <c r="G50" i="37" a="1"/>
  <c r="T48" i="37" a="1"/>
  <c r="O35" i="37" a="1"/>
  <c r="F47" i="37" a="1"/>
  <c r="D53" i="37" a="1"/>
  <c r="R50" i="37" a="1"/>
  <c r="C41" i="37" a="1"/>
  <c r="O17" i="37" a="1"/>
  <c r="Q40" i="37" a="1"/>
  <c r="Q49" i="37" a="1"/>
  <c r="T43" i="37" a="1"/>
  <c r="O39" i="37" a="1"/>
  <c r="F42" i="37" a="1"/>
  <c r="C52" i="37" a="1"/>
  <c r="S53" i="37" a="1"/>
  <c r="E36" i="37" a="1"/>
  <c r="S39" i="37" a="1"/>
  <c r="R49" i="37" a="1"/>
  <c r="S50" i="37" a="1"/>
  <c r="E53" i="37" a="1"/>
  <c r="O28" i="37" a="1"/>
  <c r="P46" i="37" a="1"/>
  <c r="O36" i="37" a="1"/>
  <c r="P11" i="37" a="1"/>
  <c r="S54" i="37" a="1"/>
  <c r="D45" i="37" a="1"/>
  <c r="B44" i="37" a="1"/>
  <c r="D37" i="37" a="1"/>
  <c r="P53" i="37" a="1"/>
  <c r="E41" i="37" a="1"/>
  <c r="T41" i="37" a="1"/>
  <c r="G54" i="37" a="1"/>
  <c r="E42" i="37" a="1"/>
  <c r="O19" i="37" a="1"/>
  <c r="D44" i="37" a="1"/>
  <c r="C11" i="37" a="1"/>
  <c r="C54" i="37" a="1"/>
  <c r="R36" i="37" a="1"/>
  <c r="T51" i="37" a="1"/>
  <c r="Q36" i="37" a="1"/>
  <c r="E52" i="37" a="1"/>
  <c r="S51" i="37" a="1"/>
  <c r="O53" i="37" a="1"/>
  <c r="O20" i="37" a="1"/>
  <c r="P48" i="37" a="1"/>
  <c r="B43" i="37" a="1"/>
  <c r="Q54" i="37" a="1"/>
  <c r="Q11" i="37" a="1"/>
  <c r="O50" i="37" a="1"/>
  <c r="B48" i="37" a="1"/>
  <c r="S52" i="37" a="1"/>
  <c r="O25" i="37" a="1"/>
  <c r="B47" i="37" a="1"/>
  <c r="O15" i="37" a="1"/>
  <c r="E48" i="37" a="1"/>
  <c r="F43" i="37" a="1"/>
  <c r="B36" i="37" a="1"/>
  <c r="C46" i="37" a="1"/>
  <c r="F54" i="37" a="1"/>
  <c r="S36" i="37" a="1"/>
  <c r="E49" i="37" a="1"/>
  <c r="E43" i="37" a="1"/>
  <c r="O40" i="37" a="1"/>
  <c r="G42" i="37" a="1"/>
  <c r="G39" i="37" a="1"/>
  <c r="R47" i="37" a="1"/>
  <c r="Q47" i="37" a="1"/>
  <c r="G46" i="37" a="1"/>
  <c r="G37" i="37" a="1"/>
  <c r="C37" i="37" a="1"/>
  <c r="C38" i="37" a="1"/>
  <c r="F38" i="37" a="1"/>
  <c r="D39" i="37" a="1"/>
  <c r="P50" i="37" a="1"/>
  <c r="G11" i="37" l="1"/>
  <c r="O53" i="37"/>
  <c r="O49" i="37"/>
  <c r="O47" i="37"/>
  <c r="O45" i="37"/>
  <c r="O43" i="37"/>
  <c r="O41" i="37"/>
  <c r="O39" i="37"/>
  <c r="O37" i="37"/>
  <c r="O35" i="37"/>
  <c r="O33" i="37"/>
  <c r="O31" i="37"/>
  <c r="O29" i="37"/>
  <c r="O27" i="37"/>
  <c r="O25" i="37"/>
  <c r="O23" i="37"/>
  <c r="O21" i="37"/>
  <c r="O19" i="37"/>
  <c r="O17" i="37"/>
  <c r="O15" i="37"/>
  <c r="O13" i="37"/>
  <c r="O51" i="37"/>
  <c r="O54" i="37"/>
  <c r="O52" i="37"/>
  <c r="O50" i="37"/>
  <c r="O48" i="37"/>
  <c r="O46" i="37"/>
  <c r="O44" i="37"/>
  <c r="O42" i="37"/>
  <c r="O40" i="37"/>
  <c r="O38" i="37"/>
  <c r="O36" i="37"/>
  <c r="O34" i="37"/>
  <c r="O32" i="37"/>
  <c r="O30" i="37"/>
  <c r="O28" i="37"/>
  <c r="O26" i="37"/>
  <c r="O24" i="37"/>
  <c r="O22" i="37"/>
  <c r="O20" i="37"/>
  <c r="O18" i="37"/>
  <c r="O16" i="37"/>
  <c r="O14" i="37"/>
  <c r="O12" i="37"/>
  <c r="O11" i="37"/>
  <c r="E54" i="37"/>
  <c r="E53" i="37"/>
  <c r="E52" i="37"/>
  <c r="E51" i="37"/>
  <c r="E50" i="37"/>
  <c r="E49" i="37"/>
  <c r="E48" i="37"/>
  <c r="E47" i="37"/>
  <c r="E46" i="37"/>
  <c r="E45" i="37"/>
  <c r="E44" i="37"/>
  <c r="E43" i="37"/>
  <c r="E42" i="37"/>
  <c r="E41" i="37"/>
  <c r="E40" i="37"/>
  <c r="E39" i="37"/>
  <c r="E38" i="37"/>
  <c r="E37" i="37"/>
  <c r="E36" i="37"/>
  <c r="E35" i="37"/>
  <c r="Q35" i="37"/>
  <c r="Q36" i="37"/>
  <c r="Q37" i="37"/>
  <c r="Q38" i="37"/>
  <c r="Q39" i="37"/>
  <c r="Q40" i="37"/>
  <c r="Q41" i="37"/>
  <c r="Q42" i="37"/>
  <c r="Q43" i="37"/>
  <c r="Q44" i="37"/>
  <c r="Q45" i="37"/>
  <c r="Q46" i="37"/>
  <c r="Q47" i="37"/>
  <c r="Q48" i="37"/>
  <c r="Q49" i="37"/>
  <c r="Q50" i="37"/>
  <c r="Q51" i="37"/>
  <c r="Q52" i="37"/>
  <c r="Q53" i="37"/>
  <c r="Q54" i="37"/>
  <c r="B35" i="37"/>
  <c r="C35" i="37"/>
  <c r="D35" i="37"/>
  <c r="F35" i="37"/>
  <c r="G35" i="37"/>
  <c r="P35" i="37"/>
  <c r="R35" i="37"/>
  <c r="S35" i="37"/>
  <c r="T35" i="37"/>
  <c r="B36" i="37"/>
  <c r="C36" i="37"/>
  <c r="D36" i="37"/>
  <c r="F36" i="37"/>
  <c r="G36" i="37"/>
  <c r="P36" i="37"/>
  <c r="R36" i="37"/>
  <c r="S36" i="37"/>
  <c r="T36" i="37"/>
  <c r="B37" i="37"/>
  <c r="C37" i="37"/>
  <c r="D37" i="37"/>
  <c r="F37" i="37"/>
  <c r="G37" i="37"/>
  <c r="P37" i="37"/>
  <c r="R37" i="37"/>
  <c r="S37" i="37"/>
  <c r="T37" i="37"/>
  <c r="B38" i="37"/>
  <c r="C38" i="37"/>
  <c r="D38" i="37"/>
  <c r="F38" i="37"/>
  <c r="G38" i="37"/>
  <c r="P38" i="37"/>
  <c r="R38" i="37"/>
  <c r="S38" i="37"/>
  <c r="T38" i="37"/>
  <c r="B39" i="37"/>
  <c r="C39" i="37"/>
  <c r="D39" i="37"/>
  <c r="F39" i="37"/>
  <c r="G39" i="37"/>
  <c r="P39" i="37"/>
  <c r="R39" i="37"/>
  <c r="S39" i="37"/>
  <c r="T39" i="37"/>
  <c r="B40" i="37"/>
  <c r="C40" i="37"/>
  <c r="D40" i="37"/>
  <c r="F40" i="37"/>
  <c r="G40" i="37"/>
  <c r="P40" i="37"/>
  <c r="R40" i="37"/>
  <c r="S40" i="37"/>
  <c r="T40" i="37"/>
  <c r="B41" i="37"/>
  <c r="C41" i="37"/>
  <c r="D41" i="37"/>
  <c r="F41" i="37"/>
  <c r="G41" i="37"/>
  <c r="P41" i="37"/>
  <c r="R41" i="37"/>
  <c r="S41" i="37"/>
  <c r="T41" i="37"/>
  <c r="B42" i="37"/>
  <c r="C42" i="37"/>
  <c r="D42" i="37"/>
  <c r="F42" i="37"/>
  <c r="G42" i="37"/>
  <c r="P42" i="37"/>
  <c r="R42" i="37"/>
  <c r="S42" i="37"/>
  <c r="T42" i="37"/>
  <c r="B43" i="37"/>
  <c r="C43" i="37"/>
  <c r="D43" i="37"/>
  <c r="F43" i="37"/>
  <c r="G43" i="37"/>
  <c r="P43" i="37"/>
  <c r="R43" i="37"/>
  <c r="S43" i="37"/>
  <c r="T43" i="37"/>
  <c r="B44" i="37"/>
  <c r="C44" i="37"/>
  <c r="D44" i="37"/>
  <c r="F44" i="37"/>
  <c r="G44" i="37"/>
  <c r="P44" i="37"/>
  <c r="R44" i="37"/>
  <c r="S44" i="37"/>
  <c r="T44" i="37"/>
  <c r="B45" i="37"/>
  <c r="C45" i="37"/>
  <c r="D45" i="37"/>
  <c r="F45" i="37"/>
  <c r="G45" i="37"/>
  <c r="P45" i="37"/>
  <c r="R45" i="37"/>
  <c r="S45" i="37"/>
  <c r="T45" i="37"/>
  <c r="B46" i="37"/>
  <c r="C46" i="37"/>
  <c r="D46" i="37"/>
  <c r="F46" i="37"/>
  <c r="G46" i="37"/>
  <c r="P46" i="37"/>
  <c r="R46" i="37"/>
  <c r="S46" i="37"/>
  <c r="T46" i="37"/>
  <c r="B47" i="37"/>
  <c r="C47" i="37"/>
  <c r="D47" i="37"/>
  <c r="F47" i="37"/>
  <c r="G47" i="37"/>
  <c r="P47" i="37"/>
  <c r="R47" i="37"/>
  <c r="S47" i="37"/>
  <c r="T47" i="37"/>
  <c r="B48" i="37"/>
  <c r="C48" i="37"/>
  <c r="D48" i="37"/>
  <c r="F48" i="37"/>
  <c r="G48" i="37"/>
  <c r="P48" i="37"/>
  <c r="R48" i="37"/>
  <c r="S48" i="37"/>
  <c r="T48" i="37"/>
  <c r="B49" i="37"/>
  <c r="C49" i="37"/>
  <c r="D49" i="37"/>
  <c r="F49" i="37"/>
  <c r="G49" i="37"/>
  <c r="P49" i="37"/>
  <c r="R49" i="37"/>
  <c r="S49" i="37"/>
  <c r="T49" i="37"/>
  <c r="B50" i="37"/>
  <c r="C50" i="37"/>
  <c r="D50" i="37"/>
  <c r="F50" i="37"/>
  <c r="G50" i="37"/>
  <c r="P50" i="37"/>
  <c r="R50" i="37"/>
  <c r="S50" i="37"/>
  <c r="T50" i="37"/>
  <c r="B51" i="37"/>
  <c r="C51" i="37"/>
  <c r="D51" i="37"/>
  <c r="F51" i="37"/>
  <c r="G51" i="37"/>
  <c r="P51" i="37"/>
  <c r="R51" i="37"/>
  <c r="S51" i="37"/>
  <c r="T51" i="37"/>
  <c r="B52" i="37"/>
  <c r="C52" i="37"/>
  <c r="D52" i="37"/>
  <c r="F52" i="37"/>
  <c r="G52" i="37"/>
  <c r="P52" i="37"/>
  <c r="R52" i="37"/>
  <c r="S52" i="37"/>
  <c r="T52" i="37"/>
  <c r="B53" i="37"/>
  <c r="C53" i="37"/>
  <c r="D53" i="37"/>
  <c r="F53" i="37"/>
  <c r="G53" i="37"/>
  <c r="P53" i="37"/>
  <c r="R53" i="37"/>
  <c r="S53" i="37"/>
  <c r="T53" i="37"/>
  <c r="B54" i="37"/>
  <c r="C54" i="37"/>
  <c r="D54" i="37"/>
  <c r="F54" i="37"/>
  <c r="G54" i="37"/>
  <c r="P54" i="37"/>
  <c r="R54" i="37"/>
  <c r="S54" i="37"/>
  <c r="T54" i="37"/>
  <c r="F11" i="37"/>
  <c r="E11" i="37"/>
  <c r="D11" i="37"/>
  <c r="C11" i="37"/>
  <c r="B11" i="37"/>
  <c r="P11" i="37"/>
  <c r="Q11" i="37"/>
  <c r="R11" i="37"/>
  <c r="S11" i="37"/>
  <c r="T11" i="37"/>
  <c r="K7" i="37"/>
  <c r="F23" i="37"/>
  <c r="F14" i="37"/>
  <c r="D14" i="37" a="1"/>
  <c r="E28" i="37" a="1"/>
  <c r="F24" i="37" a="1"/>
  <c r="G18" i="37" a="1"/>
  <c r="G33" i="37" a="1"/>
  <c r="P23" i="37" a="1"/>
  <c r="Q21" i="37" a="1"/>
  <c r="B13" i="37" a="1"/>
  <c r="R27" i="37" a="1"/>
  <c r="G17" i="37" a="1"/>
  <c r="G27" i="37" a="1"/>
  <c r="Q30" i="37" a="1"/>
  <c r="B17" i="37" a="1"/>
  <c r="T14" i="37" a="1"/>
  <c r="E14" i="37" a="1"/>
  <c r="P16" i="37" a="1"/>
  <c r="F15" i="37" a="1"/>
  <c r="S17" i="37" a="1"/>
  <c r="S33" i="37" a="1"/>
  <c r="Q25" i="37" a="1"/>
  <c r="R18" i="37" a="1"/>
  <c r="R34" i="37" a="1"/>
  <c r="B34" i="37" a="1"/>
  <c r="C27" i="37" a="1"/>
  <c r="D20" i="37" a="1"/>
  <c r="B14" i="37" a="1"/>
  <c r="E13" i="37" a="1"/>
  <c r="F17" i="37" a="1"/>
  <c r="G30" i="37" a="1"/>
  <c r="S14" i="37" a="1"/>
  <c r="T27" i="37" a="1"/>
  <c r="R19" i="37" a="1"/>
  <c r="S19" i="37" a="1"/>
  <c r="S28" i="37" a="1"/>
  <c r="R32" i="37" a="1"/>
  <c r="B31" i="37" a="1"/>
  <c r="C24" i="37" a="1"/>
  <c r="D17" i="37" a="1"/>
  <c r="E18" i="37" a="1"/>
  <c r="E31" i="37" a="1"/>
  <c r="G16" i="37" a="1"/>
  <c r="G21" i="37" a="1"/>
  <c r="S16" i="37" a="1"/>
  <c r="P32" i="37" a="1"/>
  <c r="S23" i="37" a="1"/>
  <c r="Q28" i="37" a="1"/>
  <c r="T32" i="37" a="1"/>
  <c r="P33" i="37" a="1"/>
  <c r="C29" i="37" a="1"/>
  <c r="D22" i="37" a="1"/>
  <c r="B16" i="37" a="1"/>
  <c r="E20" i="37" a="1"/>
  <c r="F16" i="37" a="1"/>
  <c r="F29" i="37" a="1"/>
  <c r="G23" i="37" a="1"/>
  <c r="T19" i="37" a="1"/>
  <c r="P27" i="37" a="1"/>
  <c r="C18" i="37" a="1"/>
  <c r="G12" i="37" a="1"/>
  <c r="F18" i="37" a="1"/>
  <c r="F26" i="37" a="1"/>
  <c r="R17" i="37" a="1"/>
  <c r="C22" i="37" a="1"/>
  <c r="R29" i="37" a="1"/>
  <c r="B21" i="37" a="1"/>
  <c r="T23" i="37" a="1"/>
  <c r="E22" i="37" a="1"/>
  <c r="T15" i="37" a="1"/>
  <c r="R30" i="37" a="1"/>
  <c r="P22" i="37" a="1"/>
  <c r="P25" i="37" a="1"/>
  <c r="Q31" i="37" a="1"/>
  <c r="T29" i="37" a="1"/>
  <c r="D28" i="37" a="1"/>
  <c r="B22" i="37" a="1"/>
  <c r="C15" i="37" a="1"/>
  <c r="E32" i="37" a="1"/>
  <c r="F28" i="37" a="1"/>
  <c r="G22" i="37" a="1"/>
  <c r="P13" i="37" a="1"/>
  <c r="S24" i="37" a="1"/>
  <c r="R16" i="37" a="1"/>
  <c r="Q32" i="37" a="1"/>
  <c r="R25" i="37" a="1"/>
  <c r="R24" i="37" a="1"/>
  <c r="C32" i="37" a="1"/>
  <c r="D25" i="37" a="1"/>
  <c r="B19" i="37" a="1"/>
  <c r="C12" i="37" a="1"/>
  <c r="E23" i="37" a="1"/>
  <c r="F27" i="37" a="1"/>
  <c r="G13" i="37" a="1"/>
  <c r="P15" i="37" a="1"/>
  <c r="T28" i="37" a="1"/>
  <c r="R20" i="37" a="1"/>
  <c r="T21" i="37" a="1"/>
  <c r="S29" i="37" a="1"/>
  <c r="S34" i="37" a="1"/>
  <c r="D30" i="37" a="1"/>
  <c r="B24" i="37" a="1"/>
  <c r="C17" i="37" a="1"/>
  <c r="E12" i="37" a="1"/>
  <c r="E33" i="37" a="1"/>
  <c r="F21" i="37" a="1"/>
  <c r="G15" i="37" a="1"/>
  <c r="P17" i="37" a="1"/>
  <c r="R23" i="37" a="1"/>
  <c r="D23" i="37" a="1"/>
  <c r="F34" i="37" a="1"/>
  <c r="D15" i="37" a="1"/>
  <c r="C14" i="37" a="1"/>
  <c r="Q24" i="37" a="1"/>
  <c r="D27" i="37" a="1"/>
  <c r="G20" i="37" a="1"/>
  <c r="D31" i="37" a="1"/>
  <c r="T17" i="37" a="1"/>
  <c r="D19" i="37" a="1"/>
  <c r="Q14" i="37" a="1"/>
  <c r="Q27" i="37" a="1"/>
  <c r="T18" i="37" a="1"/>
  <c r="T34" i="37" a="1"/>
  <c r="P28" i="37" a="1"/>
  <c r="T22" i="37" a="1"/>
  <c r="B30" i="37" a="1"/>
  <c r="C23" i="37" a="1"/>
  <c r="D16" i="37" a="1"/>
  <c r="E24" i="37" a="1"/>
  <c r="F20" i="37" a="1"/>
  <c r="G14" i="37" a="1"/>
  <c r="Q12" i="37" a="1"/>
  <c r="R21" i="37" a="1"/>
  <c r="Q13" i="37" a="1"/>
  <c r="P29" i="37" a="1"/>
  <c r="Q22" i="37" a="1"/>
  <c r="S18" i="37" a="1"/>
  <c r="D33" i="37" a="1"/>
  <c r="B27" i="37" a="1"/>
  <c r="C20" i="37" a="1"/>
  <c r="D13" i="37" a="1"/>
  <c r="E15" i="37" a="1"/>
  <c r="F19" i="37" a="1"/>
  <c r="G25" i="37" a="1"/>
  <c r="R13" i="37" a="1"/>
  <c r="S25" i="37" a="1"/>
  <c r="Q17" i="37" a="1"/>
  <c r="Q33" i="37" a="1"/>
  <c r="R26" i="37" a="1"/>
  <c r="P26" i="37" a="1"/>
  <c r="B32" i="37" a="1"/>
  <c r="C25" i="37" a="1"/>
  <c r="D18" i="37" a="1"/>
  <c r="B12" i="37" a="1"/>
  <c r="E25" i="37" a="1"/>
  <c r="F13" i="37" a="1"/>
  <c r="G34" i="37" a="1"/>
  <c r="R15" i="37" a="1"/>
  <c r="T33" i="37" a="1"/>
  <c r="B29" i="37" a="1"/>
  <c r="E19" i="37" a="1"/>
  <c r="C26" i="37" a="1"/>
  <c r="B25" i="37" a="1"/>
  <c r="Q29" i="37" a="1"/>
  <c r="B33" i="37" a="1"/>
  <c r="F31" i="37" a="1"/>
  <c r="T12" i="37" a="1"/>
  <c r="S32" i="37" a="1"/>
  <c r="C30" i="37" a="1"/>
  <c r="S12" i="37" a="1"/>
  <c r="P24" i="37" a="1"/>
  <c r="S15" i="37" a="1"/>
  <c r="S31" i="37" a="1"/>
  <c r="T24" i="37" a="1"/>
  <c r="T16" i="37" a="1"/>
  <c r="C31" i="37" a="1"/>
  <c r="D24" i="37" a="1"/>
  <c r="B18" i="37" a="1"/>
  <c r="E16" i="37" a="1"/>
  <c r="E29" i="37" a="1"/>
  <c r="F33" i="37" a="1"/>
  <c r="G29" i="37" a="1"/>
  <c r="Q18" i="37" a="1"/>
  <c r="Q34" i="37" a="1"/>
  <c r="T25" i="37" a="1"/>
  <c r="P19" i="37" a="1"/>
  <c r="R14" i="37" a="1"/>
  <c r="T30" i="37" a="1"/>
  <c r="C28" i="37" a="1"/>
  <c r="D21" i="37" a="1"/>
  <c r="B15" i="37" a="1"/>
  <c r="E34" i="37" a="1"/>
  <c r="F30" i="37" a="1"/>
  <c r="G32" i="37" a="1"/>
  <c r="P12" i="37" a="1"/>
  <c r="R22" i="37" a="1"/>
  <c r="P14" i="37" a="1"/>
  <c r="P30" i="37" a="1"/>
  <c r="Q23" i="37" a="1"/>
  <c r="Q20" i="37" a="1"/>
  <c r="C33" i="37" a="1"/>
  <c r="D26" i="37" a="1"/>
  <c r="B20" i="37" a="1"/>
  <c r="C13" i="37" a="1"/>
  <c r="E17" i="37" a="1"/>
  <c r="F32" i="37" a="1"/>
  <c r="G26" i="37" a="1"/>
  <c r="T13" i="37" a="1"/>
  <c r="P21" i="37" a="1"/>
  <c r="C34" i="37" a="1"/>
  <c r="E30" i="37" a="1"/>
  <c r="R33" i="37" a="1"/>
  <c r="S30" i="37" a="1"/>
  <c r="Q26" i="37" a="1"/>
  <c r="S27" i="37" a="1"/>
  <c r="E27" i="37" a="1"/>
  <c r="S20" i="37" a="1"/>
  <c r="G28" i="37" a="1"/>
  <c r="P34" i="37" a="1"/>
  <c r="F12" i="37" a="1"/>
  <c r="T20" i="37" a="1"/>
  <c r="R12" i="37" a="1"/>
  <c r="R28" i="37" a="1"/>
  <c r="S21" i="37" a="1"/>
  <c r="S13" i="37" a="1"/>
  <c r="D32" i="37" a="1"/>
  <c r="B26" i="37" a="1"/>
  <c r="C19" i="37" a="1"/>
  <c r="D12" i="37" a="1"/>
  <c r="E21" i="37" a="1"/>
  <c r="F25" i="37" a="1"/>
  <c r="G19" i="37" a="1"/>
  <c r="Q16" i="37" a="1"/>
  <c r="P31" i="37" a="1"/>
  <c r="S22" i="37" a="1"/>
  <c r="S26" i="37" a="1"/>
  <c r="T31" i="37" a="1"/>
  <c r="R31" i="37" a="1"/>
  <c r="D29" i="37" a="1"/>
  <c r="B23" i="37" a="1"/>
  <c r="C16" i="37" a="1"/>
  <c r="E26" i="37" a="1"/>
  <c r="F22" i="37" a="1"/>
  <c r="G24" i="37" a="1"/>
  <c r="G31" i="37" a="1"/>
  <c r="Q19" i="37" a="1"/>
  <c r="P18" i="37" a="1"/>
  <c r="T26" i="37" a="1"/>
  <c r="P20" i="37" a="1"/>
  <c r="Q15" i="37" a="1"/>
  <c r="D34" i="37" a="1"/>
  <c r="B28" i="37" a="1"/>
  <c r="C21" i="37" a="1"/>
  <c r="F15" i="37" l="1"/>
  <c r="E22" i="37"/>
  <c r="D19" i="37"/>
  <c r="C30" i="37"/>
  <c r="P34" i="37"/>
  <c r="P16" i="37"/>
  <c r="T23" i="37"/>
  <c r="T17" i="37"/>
  <c r="S32" i="37"/>
  <c r="G28" i="37"/>
  <c r="E14" i="37"/>
  <c r="B21" i="37"/>
  <c r="D31" i="37"/>
  <c r="T12" i="37"/>
  <c r="S20" i="37"/>
  <c r="T14" i="37"/>
  <c r="R29" i="37"/>
  <c r="G20" i="37"/>
  <c r="F31" i="37"/>
  <c r="E27" i="37"/>
  <c r="B17" i="37"/>
  <c r="C22" i="37"/>
  <c r="D27" i="37"/>
  <c r="B33" i="37"/>
  <c r="S27" i="37"/>
  <c r="Q30" i="37"/>
  <c r="R17" i="37"/>
  <c r="Q24" i="37"/>
  <c r="Q29" i="37"/>
  <c r="Q26" i="37"/>
  <c r="G27" i="37"/>
  <c r="F26" i="37"/>
  <c r="C14" i="37"/>
  <c r="B25" i="37"/>
  <c r="S30" i="37"/>
  <c r="G17" i="37"/>
  <c r="F18" i="37"/>
  <c r="D15" i="37"/>
  <c r="C26" i="37"/>
  <c r="R33" i="37"/>
  <c r="R27" i="37"/>
  <c r="G12" i="37"/>
  <c r="F34" i="37"/>
  <c r="E19" i="37"/>
  <c r="E30" i="37"/>
  <c r="B13" i="37"/>
  <c r="C18" i="37"/>
  <c r="D23" i="37"/>
  <c r="B29" i="37"/>
  <c r="C34" i="37"/>
  <c r="Q21" i="37"/>
  <c r="P27" i="37"/>
  <c r="R23" i="37"/>
  <c r="T33" i="37"/>
  <c r="P21" i="37"/>
  <c r="P23" i="37"/>
  <c r="T19" i="37"/>
  <c r="P17" i="37"/>
  <c r="R15" i="37"/>
  <c r="T13" i="37"/>
  <c r="G33" i="37"/>
  <c r="G23" i="37"/>
  <c r="G15" i="37"/>
  <c r="G34" i="37"/>
  <c r="G26" i="37"/>
  <c r="G18" i="37"/>
  <c r="F29" i="37"/>
  <c r="F21" i="37"/>
  <c r="F13" i="37"/>
  <c r="F32" i="37"/>
  <c r="F24" i="37"/>
  <c r="F16" i="37"/>
  <c r="E33" i="37"/>
  <c r="E25" i="37"/>
  <c r="E17" i="37"/>
  <c r="E28" i="37"/>
  <c r="E20" i="37"/>
  <c r="E12" i="37"/>
  <c r="B12" i="37"/>
  <c r="C13" i="37"/>
  <c r="D14" i="37"/>
  <c r="B16" i="37"/>
  <c r="C17" i="37"/>
  <c r="D18" i="37"/>
  <c r="B20" i="37"/>
  <c r="C21" i="37"/>
  <c r="D22" i="37"/>
  <c r="B24" i="37"/>
  <c r="C25" i="37"/>
  <c r="D26" i="37"/>
  <c r="B28" i="37"/>
  <c r="C29" i="37"/>
  <c r="D30" i="37"/>
  <c r="B32" i="37"/>
  <c r="C33" i="37"/>
  <c r="D34" i="37"/>
  <c r="P33" i="37"/>
  <c r="S34" i="37"/>
  <c r="P26" i="37"/>
  <c r="Q20" i="37"/>
  <c r="Q15" i="37"/>
  <c r="T32" i="37"/>
  <c r="S29" i="37"/>
  <c r="R26" i="37"/>
  <c r="Q23" i="37"/>
  <c r="P20" i="37"/>
  <c r="Q28" i="37"/>
  <c r="T21" i="37"/>
  <c r="Q33" i="37"/>
  <c r="P30" i="37"/>
  <c r="T26" i="37"/>
  <c r="S23" i="37"/>
  <c r="R20" i="37"/>
  <c r="Q17" i="37"/>
  <c r="P14" i="37"/>
  <c r="P18" i="37"/>
  <c r="P32" i="37"/>
  <c r="T28" i="37"/>
  <c r="S25" i="37"/>
  <c r="R22" i="37"/>
  <c r="Q19" i="37"/>
  <c r="S16" i="37"/>
  <c r="P15" i="37"/>
  <c r="R13" i="37"/>
  <c r="P12" i="37"/>
  <c r="G31" i="37"/>
  <c r="G21" i="37"/>
  <c r="G13" i="37"/>
  <c r="G25" i="37"/>
  <c r="G32" i="37"/>
  <c r="G24" i="37"/>
  <c r="G16" i="37"/>
  <c r="F27" i="37"/>
  <c r="F19" i="37"/>
  <c r="F30" i="37"/>
  <c r="F22" i="37"/>
  <c r="E31" i="37"/>
  <c r="E23" i="37"/>
  <c r="E15" i="37"/>
  <c r="E34" i="37"/>
  <c r="E26" i="37"/>
  <c r="E18" i="37"/>
  <c r="C12" i="37"/>
  <c r="D13" i="37"/>
  <c r="B15" i="37"/>
  <c r="C16" i="37"/>
  <c r="D17" i="37"/>
  <c r="B19" i="37"/>
  <c r="C20" i="37"/>
  <c r="D21" i="37"/>
  <c r="B23" i="37"/>
  <c r="C24" i="37"/>
  <c r="D25" i="37"/>
  <c r="B27" i="37"/>
  <c r="C28" i="37"/>
  <c r="D29" i="37"/>
  <c r="B31" i="37"/>
  <c r="C32" i="37"/>
  <c r="D33" i="37"/>
  <c r="T30" i="37"/>
  <c r="R31" i="37"/>
  <c r="R32" i="37"/>
  <c r="R24" i="37"/>
  <c r="S18" i="37"/>
  <c r="R14" i="37"/>
  <c r="T31" i="37"/>
  <c r="S28" i="37"/>
  <c r="R25" i="37"/>
  <c r="Q22" i="37"/>
  <c r="P19" i="37"/>
  <c r="S26" i="37"/>
  <c r="S19" i="37"/>
  <c r="Q32" i="37"/>
  <c r="P29" i="37"/>
  <c r="T25" i="37"/>
  <c r="S22" i="37"/>
  <c r="R19" i="37"/>
  <c r="R16" i="37"/>
  <c r="Q13" i="37"/>
  <c r="Q34" i="37"/>
  <c r="P31" i="37"/>
  <c r="T27" i="37"/>
  <c r="S24" i="37"/>
  <c r="R21" i="37"/>
  <c r="Q18" i="37"/>
  <c r="Q16" i="37"/>
  <c r="S14" i="37"/>
  <c r="P13" i="37"/>
  <c r="Q12" i="37"/>
  <c r="G29" i="37"/>
  <c r="G19" i="37"/>
  <c r="G30" i="37"/>
  <c r="G22" i="37"/>
  <c r="G14" i="37"/>
  <c r="F33" i="37"/>
  <c r="F25" i="37"/>
  <c r="F17" i="37"/>
  <c r="F28" i="37"/>
  <c r="F20" i="37"/>
  <c r="E29" i="37"/>
  <c r="E21" i="37"/>
  <c r="E13" i="37"/>
  <c r="E32" i="37"/>
  <c r="E24" i="37"/>
  <c r="E16" i="37"/>
  <c r="D12" i="37"/>
  <c r="B14" i="37"/>
  <c r="C15" i="37"/>
  <c r="D16" i="37"/>
  <c r="B18" i="37"/>
  <c r="C19" i="37"/>
  <c r="D20" i="37"/>
  <c r="B22" i="37"/>
  <c r="C23" i="37"/>
  <c r="D24" i="37"/>
  <c r="B26" i="37"/>
  <c r="C27" i="37"/>
  <c r="D28" i="37"/>
  <c r="B30" i="37"/>
  <c r="C31" i="37"/>
  <c r="D32" i="37"/>
  <c r="B34" i="37"/>
  <c r="T29" i="37"/>
  <c r="T22" i="37"/>
  <c r="T16" i="37"/>
  <c r="S13" i="37"/>
  <c r="R34" i="37"/>
  <c r="Q31" i="37"/>
  <c r="P28" i="37"/>
  <c r="T24" i="37"/>
  <c r="S21" i="37"/>
  <c r="R18" i="37"/>
  <c r="P25" i="37"/>
  <c r="T34" i="37"/>
  <c r="S31" i="37"/>
  <c r="R28" i="37"/>
  <c r="Q25" i="37"/>
  <c r="P22" i="37"/>
  <c r="T18" i="37"/>
  <c r="S15" i="37"/>
  <c r="R12" i="37"/>
  <c r="S33" i="37"/>
  <c r="R30" i="37"/>
  <c r="Q27" i="37"/>
  <c r="P24" i="37"/>
  <c r="T20" i="37"/>
  <c r="S17" i="37"/>
  <c r="T15" i="37"/>
  <c r="Q14" i="37"/>
  <c r="S12" i="37"/>
  <c r="F12" i="3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<sst xmlns="http://schemas.openxmlformats.org/spreadsheetml/2006/main" count="261" uniqueCount="65">
  <si>
    <t>strike</t>
  </si>
  <si>
    <t>Delta</t>
  </si>
  <si>
    <t>Risk-free rate</t>
  </si>
  <si>
    <t>Gamma</t>
  </si>
  <si>
    <t>Theta</t>
  </si>
  <si>
    <t>Vega</t>
  </si>
  <si>
    <t>Rho</t>
  </si>
  <si>
    <t>lastTradeDate_x</t>
  </si>
  <si>
    <t>lastPrice_x</t>
  </si>
  <si>
    <t>bid_x</t>
  </si>
  <si>
    <t>ask_x</t>
  </si>
  <si>
    <t>volume_x</t>
  </si>
  <si>
    <t>openInterest_x</t>
  </si>
  <si>
    <t>impliedVolatility_x</t>
  </si>
  <si>
    <t>lastTradeDate_y</t>
  </si>
  <si>
    <t>lastPrice_y</t>
  </si>
  <si>
    <t>bid_y</t>
  </si>
  <si>
    <t>ask_y</t>
  </si>
  <si>
    <t>volume_y</t>
  </si>
  <si>
    <t>openInterest_y</t>
  </si>
  <si>
    <t>impliedVolatility_y</t>
  </si>
  <si>
    <t>MICROSOFT OPTION GREEKS CALCULATOR</t>
  </si>
  <si>
    <t>Dividend Yield</t>
  </si>
  <si>
    <t>Business days to Maturity</t>
  </si>
  <si>
    <t xml:space="preserve">Today </t>
  </si>
  <si>
    <t>In years</t>
  </si>
  <si>
    <t>Theoritical Price</t>
  </si>
  <si>
    <t>Close Price</t>
  </si>
  <si>
    <t>Strike</t>
  </si>
  <si>
    <t>Implied Vol</t>
  </si>
  <si>
    <t>CALLS</t>
  </si>
  <si>
    <t>PUTS</t>
  </si>
  <si>
    <t>BLACK SCHOLES CALIBRATION</t>
  </si>
  <si>
    <t xml:space="preserve">Type : </t>
  </si>
  <si>
    <t>PUT</t>
  </si>
  <si>
    <t>CALL</t>
  </si>
  <si>
    <t>Strike :</t>
  </si>
  <si>
    <t>Volatility :</t>
  </si>
  <si>
    <t xml:space="preserve">Value : </t>
  </si>
  <si>
    <t>Maturities</t>
  </si>
  <si>
    <t>ADJ VOLUME</t>
  </si>
  <si>
    <t>Adj Volume</t>
  </si>
  <si>
    <t>VolatilitySurface</t>
  </si>
  <si>
    <t>K</t>
  </si>
  <si>
    <t>T</t>
  </si>
  <si>
    <t>IV</t>
  </si>
  <si>
    <t>t in years</t>
  </si>
  <si>
    <t>K^2</t>
  </si>
  <si>
    <t>T^2</t>
  </si>
  <si>
    <t>KT</t>
  </si>
  <si>
    <t>Implied Volatility Matrix for PUTS</t>
  </si>
  <si>
    <t>a0</t>
  </si>
  <si>
    <t>a1</t>
  </si>
  <si>
    <t>a2</t>
  </si>
  <si>
    <t>a3</t>
  </si>
  <si>
    <t>a4</t>
  </si>
  <si>
    <t>IV fit</t>
  </si>
  <si>
    <t>a5</t>
  </si>
  <si>
    <t>k</t>
  </si>
  <si>
    <t>k^2</t>
  </si>
  <si>
    <t>t</t>
  </si>
  <si>
    <t>t^2</t>
  </si>
  <si>
    <t>k*t</t>
  </si>
  <si>
    <t>Expiration Date</t>
  </si>
  <si>
    <t>Select an Expiration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</si>
</sst>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yyyy\-mm\-dd;@"/>
    <numFmt numFmtId="166" formatCode="0.0000"/>
  </numFmts>
  <fonts count="13" x14ac:knownFonts="1">
    <font>
      <sz val="12"/>
      <color theme="1"/>
      <name val="Calibri"/>
      <family val="2"/>
      <scheme val="minor"/>
    </font>
    <font>
      <b/>
      <sz val="12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1787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113">
    <xf numFmtId="0" fontId="0" fillId="0" borderId="0" xfId="0"/>
    <xf numFmtId="14" fontId="0" fillId="0" borderId="0" xfId="0" applyNumberFormat="1"/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165" fontId="0" fillId="0" borderId="0" xfId="0" applyNumberFormat="1"/>
    <xf numFmtId="0" fontId="3" fillId="3" borderId="1" xfId="0" applyFont="1" applyFill="1" applyBorder="1"/>
    <xf numFmtId="0" fontId="0" fillId="4" borderId="1" xfId="0" applyFill="1" applyBorder="1"/>
    <xf numFmtId="0" fontId="0" fillId="0" borderId="0" xfId="0" applyFill="1"/>
    <xf numFmtId="0" fontId="0" fillId="0" borderId="0" xfId="0" applyFill="1" applyBorder="1" applyAlignment="1"/>
    <xf numFmtId="0" fontId="0" fillId="0" borderId="0" xfId="0" applyFill="1" applyBorder="1"/>
    <xf numFmtId="0" fontId="0" fillId="3" borderId="8" xfId="0" applyFill="1" applyBorder="1" applyAlignment="1">
      <alignment horizontal="center"/>
    </xf>
    <xf numFmtId="0" fontId="0" fillId="4" borderId="11" xfId="0" applyFill="1" applyBorder="1"/>
    <xf numFmtId="0" fontId="3" fillId="3" borderId="13" xfId="0" applyFont="1" applyFill="1" applyBorder="1"/>
    <xf numFmtId="0" fontId="2" fillId="2" borderId="1" xfId="2" applyBorder="1"/>
    <xf numFmtId="14" fontId="2" fillId="2" borderId="10" xfId="2" applyNumberFormat="1" applyBorder="1"/>
    <xf numFmtId="14" fontId="2" fillId="2" borderId="12" xfId="2" applyNumberFormat="1" applyBorder="1"/>
    <xf numFmtId="0" fontId="2" fillId="2" borderId="13" xfId="2" applyBorder="1"/>
    <xf numFmtId="0" fontId="0" fillId="7" borderId="1" xfId="0" applyFill="1" applyBorder="1"/>
    <xf numFmtId="0" fontId="0" fillId="7" borderId="11" xfId="0" applyFill="1" applyBorder="1"/>
    <xf numFmtId="14" fontId="0" fillId="7" borderId="1" xfId="0" applyNumberFormat="1" applyFill="1" applyBorder="1"/>
    <xf numFmtId="14" fontId="0" fillId="7" borderId="13" xfId="0" applyNumberFormat="1" applyFill="1" applyBorder="1"/>
    <xf numFmtId="0" fontId="0" fillId="7" borderId="13" xfId="0" applyFill="1" applyBorder="1"/>
    <xf numFmtId="0" fontId="0" fillId="7" borderId="14" xfId="0" applyFill="1" applyBorder="1"/>
    <xf numFmtId="166" fontId="0" fillId="6" borderId="1" xfId="0" applyNumberFormat="1" applyFill="1" applyBorder="1"/>
    <xf numFmtId="2" fontId="0" fillId="6" borderId="1" xfId="0" applyNumberFormat="1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4" xfId="0" applyFill="1" applyBorder="1"/>
    <xf numFmtId="0" fontId="0" fillId="6" borderId="15" xfId="0" applyFill="1" applyBorder="1"/>
    <xf numFmtId="0" fontId="0" fillId="6" borderId="17" xfId="0" applyFill="1" applyBorder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3" fillId="8" borderId="1" xfId="0" applyFont="1" applyFill="1" applyBorder="1"/>
    <xf numFmtId="0" fontId="3" fillId="6" borderId="3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166" fontId="0" fillId="9" borderId="1" xfId="0" applyNumberFormat="1" applyFill="1" applyBorder="1"/>
    <xf numFmtId="2" fontId="0" fillId="9" borderId="1" xfId="0" applyNumberFormat="1" applyFill="1" applyBorder="1"/>
    <xf numFmtId="0" fontId="0" fillId="9" borderId="1" xfId="0" applyFill="1" applyBorder="1"/>
    <xf numFmtId="0" fontId="0" fillId="9" borderId="2" xfId="0" applyFill="1" applyBorder="1"/>
    <xf numFmtId="0" fontId="3" fillId="9" borderId="3" xfId="0" applyFont="1" applyFill="1" applyBorder="1" applyAlignment="1">
      <alignment horizontal="center"/>
    </xf>
    <xf numFmtId="0" fontId="0" fillId="9" borderId="4" xfId="0" applyFill="1" applyBorder="1"/>
    <xf numFmtId="0" fontId="0" fillId="10" borderId="0" xfId="0" applyFill="1"/>
    <xf numFmtId="14" fontId="0" fillId="10" borderId="0" xfId="0" applyNumberFormat="1" applyFill="1"/>
    <xf numFmtId="0" fontId="4" fillId="10" borderId="0" xfId="0" applyFont="1" applyFill="1" applyBorder="1"/>
    <xf numFmtId="0" fontId="4" fillId="10" borderId="0" xfId="0" applyFont="1" applyFill="1"/>
    <xf numFmtId="0" fontId="4" fillId="10" borderId="0" xfId="0" applyFont="1" applyFill="1" applyBorder="1" applyAlignment="1">
      <alignment horizontal="left"/>
    </xf>
    <xf numFmtId="0" fontId="0" fillId="10" borderId="0" xfId="0" applyNumberFormat="1" applyFont="1" applyFill="1"/>
    <xf numFmtId="10" fontId="4" fillId="10" borderId="21" xfId="1" applyNumberFormat="1" applyFont="1" applyFill="1" applyBorder="1"/>
    <xf numFmtId="1" fontId="4" fillId="10" borderId="21" xfId="0" applyNumberFormat="1" applyFont="1" applyFill="1" applyBorder="1"/>
    <xf numFmtId="166" fontId="4" fillId="10" borderId="21" xfId="0" applyNumberFormat="1" applyFont="1" applyFill="1" applyBorder="1"/>
    <xf numFmtId="0" fontId="4" fillId="10" borderId="25" xfId="0" applyFont="1" applyFill="1" applyBorder="1"/>
    <xf numFmtId="0" fontId="4" fillId="10" borderId="26" xfId="0" applyFont="1" applyFill="1" applyBorder="1"/>
    <xf numFmtId="0" fontId="4" fillId="10" borderId="27" xfId="0" applyFont="1" applyFill="1" applyBorder="1"/>
    <xf numFmtId="0" fontId="4" fillId="10" borderId="28" xfId="1" applyNumberFormat="1" applyFont="1" applyFill="1" applyBorder="1" applyAlignment="1">
      <alignment horizontal="left"/>
    </xf>
    <xf numFmtId="0" fontId="4" fillId="10" borderId="29" xfId="0" applyFont="1" applyFill="1" applyBorder="1"/>
    <xf numFmtId="0" fontId="0" fillId="10" borderId="0" xfId="0" applyFill="1" applyBorder="1"/>
    <xf numFmtId="0" fontId="2" fillId="5" borderId="10" xfId="2" applyFill="1" applyBorder="1"/>
    <xf numFmtId="0" fontId="2" fillId="5" borderId="1" xfId="2" applyFill="1" applyBorder="1"/>
    <xf numFmtId="14" fontId="5" fillId="10" borderId="21" xfId="0" applyNumberFormat="1" applyFont="1" applyFill="1" applyBorder="1"/>
    <xf numFmtId="0" fontId="8" fillId="10" borderId="19" xfId="0" applyFont="1" applyFill="1" applyBorder="1"/>
    <xf numFmtId="166" fontId="9" fillId="10" borderId="20" xfId="0" applyNumberFormat="1" applyFont="1" applyFill="1" applyBorder="1" applyAlignment="1">
      <alignment horizontal="right"/>
    </xf>
    <xf numFmtId="0" fontId="8" fillId="10" borderId="21" xfId="0" applyFont="1" applyFill="1" applyBorder="1"/>
    <xf numFmtId="10" fontId="0" fillId="9" borderId="4" xfId="1" applyNumberFormat="1" applyFont="1" applyFill="1" applyBorder="1"/>
    <xf numFmtId="10" fontId="0" fillId="6" borderId="4" xfId="1" applyNumberFormat="1" applyFont="1" applyFill="1" applyBorder="1"/>
    <xf numFmtId="10" fontId="0" fillId="9" borderId="2" xfId="1" applyNumberFormat="1" applyFont="1" applyFill="1" applyBorder="1"/>
    <xf numFmtId="10" fontId="0" fillId="6" borderId="2" xfId="1" applyNumberFormat="1" applyFont="1" applyFill="1" applyBorder="1"/>
    <xf numFmtId="0" fontId="4" fillId="0" borderId="0" xfId="0" applyFont="1"/>
    <xf numFmtId="0" fontId="0" fillId="0" borderId="26" xfId="0" applyBorder="1"/>
    <xf numFmtId="0" fontId="3" fillId="8" borderId="32" xfId="0" applyFont="1" applyFill="1" applyBorder="1"/>
    <xf numFmtId="0" fontId="4" fillId="11" borderId="0" xfId="0" applyFont="1" applyFill="1"/>
    <xf numFmtId="2" fontId="0" fillId="9" borderId="4" xfId="1" applyNumberFormat="1" applyFont="1" applyFill="1" applyBorder="1"/>
    <xf numFmtId="2" fontId="0" fillId="6" borderId="4" xfId="1" applyNumberFormat="1" applyFont="1" applyFill="1" applyBorder="1"/>
    <xf numFmtId="0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14" fontId="12" fillId="0" borderId="0" xfId="0" applyNumberFormat="1" applyFont="1"/>
    <xf numFmtId="0" fontId="12" fillId="0" borderId="0" xfId="0" applyFont="1"/>
    <xf numFmtId="10" fontId="11" fillId="0" borderId="0" xfId="0" applyNumberFormat="1" applyFont="1" applyFill="1"/>
    <xf numFmtId="10" fontId="0" fillId="0" borderId="0" xfId="0" applyNumberFormat="1" applyFill="1"/>
    <xf numFmtId="10" fontId="0" fillId="10" borderId="0" xfId="1" applyNumberFormat="1" applyFont="1" applyFill="1"/>
    <xf numFmtId="10" fontId="0" fillId="10" borderId="0" xfId="0" applyNumberFormat="1" applyFill="1"/>
    <xf numFmtId="0" fontId="3" fillId="4" borderId="8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8" borderId="18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8" borderId="2" xfId="0" applyFont="1" applyFill="1" applyBorder="1" applyAlignment="1">
      <alignment horizontal="center"/>
    </xf>
    <xf numFmtId="0" fontId="3" fillId="8" borderId="4" xfId="0" applyFont="1" applyFill="1" applyBorder="1" applyAlignment="1">
      <alignment horizontal="center"/>
    </xf>
    <xf numFmtId="0" fontId="4" fillId="10" borderId="0" xfId="0" applyFont="1" applyFill="1" applyAlignment="1">
      <alignment horizontal="center"/>
    </xf>
    <xf numFmtId="0" fontId="4" fillId="10" borderId="30" xfId="0" applyFont="1" applyFill="1" applyBorder="1" applyAlignment="1">
      <alignment horizontal="center" vertical="center"/>
    </xf>
    <xf numFmtId="0" fontId="4" fillId="10" borderId="31" xfId="0" applyFont="1" applyFill="1" applyBorder="1" applyAlignment="1">
      <alignment horizontal="center" vertical="center"/>
    </xf>
    <xf numFmtId="14" fontId="4" fillId="10" borderId="27" xfId="0" applyNumberFormat="1" applyFont="1" applyFill="1" applyBorder="1" applyAlignment="1">
      <alignment horizontal="center"/>
    </xf>
    <xf numFmtId="14" fontId="4" fillId="10" borderId="29" xfId="0" applyNumberFormat="1" applyFont="1" applyFill="1" applyBorder="1" applyAlignment="1">
      <alignment horizontal="center"/>
    </xf>
    <xf numFmtId="0" fontId="4" fillId="10" borderId="19" xfId="0" applyFont="1" applyFill="1" applyBorder="1" applyAlignment="1">
      <alignment horizontal="left"/>
    </xf>
    <xf numFmtId="0" fontId="4" fillId="10" borderId="20" xfId="0" applyFont="1" applyFill="1" applyBorder="1" applyAlignment="1">
      <alignment horizontal="left"/>
    </xf>
    <xf numFmtId="0" fontId="7" fillId="10" borderId="19" xfId="0" applyFont="1" applyFill="1" applyBorder="1" applyAlignment="1">
      <alignment horizontal="left"/>
    </xf>
    <xf numFmtId="0" fontId="7" fillId="10" borderId="20" xfId="0" applyFont="1" applyFill="1" applyBorder="1" applyAlignment="1">
      <alignment horizontal="left"/>
    </xf>
    <xf numFmtId="0" fontId="4" fillId="10" borderId="30" xfId="0" applyFont="1" applyFill="1" applyBorder="1" applyAlignment="1">
      <alignment horizontal="center"/>
    </xf>
    <xf numFmtId="0" fontId="4" fillId="10" borderId="31" xfId="0" applyFont="1" applyFill="1" applyBorder="1" applyAlignment="1">
      <alignment horizontal="center"/>
    </xf>
    <xf numFmtId="0" fontId="6" fillId="10" borderId="27" xfId="0" applyFont="1" applyFill="1" applyBorder="1" applyAlignment="1">
      <alignment horizontal="center"/>
    </xf>
    <xf numFmtId="0" fontId="6" fillId="10" borderId="29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10" borderId="24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 textRotation="90"/>
    </xf>
    <xf numFmtId="14" fontId="4" fillId="0" borderId="0" xfId="0" applyNumberFormat="1" applyFont="1"/>
    <xf numFmtId="0" fontId="0" fillId="0" borderId="0" xfId="0" applyFont="1"/>
  </cellXfs>
  <cellStyles count="3">
    <cellStyle name="40% - Accent1" xfId="2" builtinId="31"/>
    <cellStyle name="Normal" xfId="0" builtinId="0"/>
    <cellStyle name="Per cent" xfId="1" builtinId="5"/>
  </cellStyles>
  <dxfs count="3"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17877"/>
      <color rgb="FFFF2600"/>
      <color rgb="FFEE58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IV Surface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70"/>
      <c:depthPercent val="100"/>
      <c:rAngAx val="0"/>
      <c:perspective val="4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 prstMaterial="metal"/>
      </c:spPr>
    </c:sideWall>
    <c:backWall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 prstMaterial="metal"/>
      </c:spPr>
    </c:backWall>
    <c:plotArea>
      <c:layout/>
      <c:surface3DChart>
        <c:wireframe val="0"/>
        <c:ser>
          <c:idx val="0"/>
          <c:order val="0"/>
          <c:tx>
            <c:strRef>
              <c:f>VolatilitySurface!$M$76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VolatilitySurface!$N$76:$AD$76</c:f>
              <c:numCache>
                <c:formatCode>General</c:formatCode>
                <c:ptCount val="17"/>
                <c:pt idx="0">
                  <c:v>0.42087182983312516</c:v>
                </c:pt>
                <c:pt idx="1">
                  <c:v>0.39458633255050135</c:v>
                </c:pt>
                <c:pt idx="2">
                  <c:v>0.37059901049318039</c:v>
                </c:pt>
                <c:pt idx="3">
                  <c:v>0.34890986366116478</c:v>
                </c:pt>
                <c:pt idx="4">
                  <c:v>0.32951889205445284</c:v>
                </c:pt>
                <c:pt idx="5">
                  <c:v>0.31242609567304375</c:v>
                </c:pt>
                <c:pt idx="6">
                  <c:v>0.29763147451693972</c:v>
                </c:pt>
                <c:pt idx="7">
                  <c:v>0.28513502858613948</c:v>
                </c:pt>
                <c:pt idx="8">
                  <c:v>0.27493675788064248</c:v>
                </c:pt>
                <c:pt idx="9">
                  <c:v>0.2670366624004501</c:v>
                </c:pt>
                <c:pt idx="10">
                  <c:v>0.26143474214556195</c:v>
                </c:pt>
                <c:pt idx="11">
                  <c:v>0.25813099711597659</c:v>
                </c:pt>
                <c:pt idx="12">
                  <c:v>0.2571254273116963</c:v>
                </c:pt>
                <c:pt idx="13">
                  <c:v>0.25841803273271979</c:v>
                </c:pt>
                <c:pt idx="14">
                  <c:v>0.26200881337904697</c:v>
                </c:pt>
                <c:pt idx="15">
                  <c:v>0.26789776925067743</c:v>
                </c:pt>
                <c:pt idx="16">
                  <c:v>0.27608490034761302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6E-9145-8693-5CFDC2C15140}"/>
            </c:ext>
          </c:extLst>
        </c:ser>
        <c:ser>
          <c:idx val="1"/>
          <c:order val="1"/>
          <c:tx>
            <c:strRef>
              <c:f>VolatilitySurface!$M$77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VolatilitySurface!$N$77:$AD$77</c:f>
              <c:numCache>
                <c:formatCode>General</c:formatCode>
                <c:ptCount val="17"/>
                <c:pt idx="0">
                  <c:v>0.39927441945230696</c:v>
                </c:pt>
                <c:pt idx="1">
                  <c:v>0.37389761385780995</c:v>
                </c:pt>
                <c:pt idx="2">
                  <c:v>0.35081898348861573</c:v>
                </c:pt>
                <c:pt idx="3">
                  <c:v>0.33003852834472686</c:v>
                </c:pt>
                <c:pt idx="4">
                  <c:v>0.31155624842614166</c:v>
                </c:pt>
                <c:pt idx="5">
                  <c:v>0.29537214373285936</c:v>
                </c:pt>
                <c:pt idx="6">
                  <c:v>0.28148621426488207</c:v>
                </c:pt>
                <c:pt idx="7">
                  <c:v>0.26989846002220858</c:v>
                </c:pt>
                <c:pt idx="8">
                  <c:v>0.26060888100483837</c:v>
                </c:pt>
                <c:pt idx="9">
                  <c:v>0.25361747721277272</c:v>
                </c:pt>
                <c:pt idx="10">
                  <c:v>0.24892424864601131</c:v>
                </c:pt>
                <c:pt idx="11">
                  <c:v>0.24652919530455275</c:v>
                </c:pt>
                <c:pt idx="12">
                  <c:v>0.24643231718839922</c:v>
                </c:pt>
                <c:pt idx="13">
                  <c:v>0.24863361429754943</c:v>
                </c:pt>
                <c:pt idx="14">
                  <c:v>0.2531330866320034</c:v>
                </c:pt>
                <c:pt idx="15">
                  <c:v>0.2599307341917606</c:v>
                </c:pt>
                <c:pt idx="16">
                  <c:v>0.26902655697682293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6E-9145-8693-5CFDC2C15140}"/>
            </c:ext>
          </c:extLst>
        </c:ser>
        <c:ser>
          <c:idx val="2"/>
          <c:order val="2"/>
          <c:tx>
            <c:strRef>
              <c:f>VolatilitySurface!$M$78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VolatilitySurface!$N$78:$AD$78</c:f>
              <c:numCache>
                <c:formatCode>General</c:formatCode>
                <c:ptCount val="17"/>
                <c:pt idx="0">
                  <c:v>0.3803758477086655</c:v>
                </c:pt>
                <c:pt idx="1">
                  <c:v>0.35590773380229523</c:v>
                </c:pt>
                <c:pt idx="2">
                  <c:v>0.33373779512122781</c:v>
                </c:pt>
                <c:pt idx="3">
                  <c:v>0.31386603166546567</c:v>
                </c:pt>
                <c:pt idx="4">
                  <c:v>0.29629244343500727</c:v>
                </c:pt>
                <c:pt idx="5">
                  <c:v>0.28101703042985171</c:v>
                </c:pt>
                <c:pt idx="6">
                  <c:v>0.26803979265000122</c:v>
                </c:pt>
                <c:pt idx="7">
                  <c:v>0.25736073009545446</c:v>
                </c:pt>
                <c:pt idx="8">
                  <c:v>0.24897984276621099</c:v>
                </c:pt>
                <c:pt idx="9">
                  <c:v>0.24289713066227214</c:v>
                </c:pt>
                <c:pt idx="10">
                  <c:v>0.23911259378363747</c:v>
                </c:pt>
                <c:pt idx="11">
                  <c:v>0.23762623213030565</c:v>
                </c:pt>
                <c:pt idx="12">
                  <c:v>0.23843804570227889</c:v>
                </c:pt>
                <c:pt idx="13">
                  <c:v>0.24154803449955586</c:v>
                </c:pt>
                <c:pt idx="14">
                  <c:v>0.24695619852213657</c:v>
                </c:pt>
                <c:pt idx="15">
                  <c:v>0.25466253777002057</c:v>
                </c:pt>
                <c:pt idx="16">
                  <c:v>0.26466705224320963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6E-9145-8693-5CFDC2C15140}"/>
            </c:ext>
          </c:extLst>
        </c:ser>
        <c:ser>
          <c:idx val="3"/>
          <c:order val="3"/>
          <c:tx>
            <c:strRef>
              <c:f>VolatilitySurface!$M$79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VolatilitySurface!$N$79:$AD$79</c:f>
              <c:numCache>
                <c:formatCode>General</c:formatCode>
                <c:ptCount val="17"/>
                <c:pt idx="0">
                  <c:v>0.36417611460220078</c:v>
                </c:pt>
                <c:pt idx="1">
                  <c:v>0.34061669238395731</c:v>
                </c:pt>
                <c:pt idx="2">
                  <c:v>0.31935544539101662</c:v>
                </c:pt>
                <c:pt idx="3">
                  <c:v>0.30039237362338123</c:v>
                </c:pt>
                <c:pt idx="4">
                  <c:v>0.28372747708104962</c:v>
                </c:pt>
                <c:pt idx="5">
                  <c:v>0.2693607557640208</c:v>
                </c:pt>
                <c:pt idx="6">
                  <c:v>0.25729220967229705</c:v>
                </c:pt>
                <c:pt idx="7">
                  <c:v>0.24752183880587705</c:v>
                </c:pt>
                <c:pt idx="8">
                  <c:v>0.24004964316476035</c:v>
                </c:pt>
                <c:pt idx="9">
                  <c:v>0.23487562274894824</c:v>
                </c:pt>
                <c:pt idx="10">
                  <c:v>0.23199977755844034</c:v>
                </c:pt>
                <c:pt idx="11">
                  <c:v>0.23142210759323525</c:v>
                </c:pt>
                <c:pt idx="12">
                  <c:v>0.23314261285333526</c:v>
                </c:pt>
                <c:pt idx="13">
                  <c:v>0.23716129333873898</c:v>
                </c:pt>
                <c:pt idx="14">
                  <c:v>0.24347814904944645</c:v>
                </c:pt>
                <c:pt idx="15">
                  <c:v>0.25209317998545722</c:v>
                </c:pt>
                <c:pt idx="16">
                  <c:v>0.26300638614677302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6E-9145-8693-5CFDC2C15140}"/>
            </c:ext>
          </c:extLst>
        </c:ser>
        <c:ser>
          <c:idx val="4"/>
          <c:order val="4"/>
          <c:tx>
            <c:strRef>
              <c:f>VolatilitySurface!$M$80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VolatilitySurface!$N$80:$AD$80</c:f>
              <c:numCache>
                <c:formatCode>General</c:formatCode>
                <c:ptCount val="17"/>
                <c:pt idx="0">
                  <c:v>0.35067522013291291</c:v>
                </c:pt>
                <c:pt idx="1">
                  <c:v>0.32802448960279618</c:v>
                </c:pt>
                <c:pt idx="2">
                  <c:v>0.30767193429798223</c:v>
                </c:pt>
                <c:pt idx="3">
                  <c:v>0.28961755421847357</c:v>
                </c:pt>
                <c:pt idx="4">
                  <c:v>0.2738613493642687</c:v>
                </c:pt>
                <c:pt idx="5">
                  <c:v>0.26040331973536662</c:v>
                </c:pt>
                <c:pt idx="6">
                  <c:v>0.24924346533176969</c:v>
                </c:pt>
                <c:pt idx="7">
                  <c:v>0.24038178615347644</c:v>
                </c:pt>
                <c:pt idx="8">
                  <c:v>0.23381828220048648</c:v>
                </c:pt>
                <c:pt idx="9">
                  <c:v>0.22955295347280114</c:v>
                </c:pt>
                <c:pt idx="10">
                  <c:v>0.22758579997041997</c:v>
                </c:pt>
                <c:pt idx="11">
                  <c:v>0.22791682169334165</c:v>
                </c:pt>
                <c:pt idx="12">
                  <c:v>0.23054601864156843</c:v>
                </c:pt>
                <c:pt idx="13">
                  <c:v>0.23547339081509891</c:v>
                </c:pt>
                <c:pt idx="14">
                  <c:v>0.24269893821393312</c:v>
                </c:pt>
                <c:pt idx="15">
                  <c:v>0.2522226608380706</c:v>
                </c:pt>
                <c:pt idx="16">
                  <c:v>0.2640445586875132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6E-9145-8693-5CFDC2C15140}"/>
            </c:ext>
          </c:extLst>
        </c:ser>
        <c:ser>
          <c:idx val="5"/>
          <c:order val="5"/>
          <c:tx>
            <c:strRef>
              <c:f>VolatilitySurface!$M$81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VolatilitySurface!$N$81:$AD$81</c:f>
              <c:numCache>
                <c:formatCode>General</c:formatCode>
                <c:ptCount val="17"/>
                <c:pt idx="0">
                  <c:v>0.33987316430080172</c:v>
                </c:pt>
                <c:pt idx="1">
                  <c:v>0.31813112545881173</c:v>
                </c:pt>
                <c:pt idx="2">
                  <c:v>0.29868726184212457</c:v>
                </c:pt>
                <c:pt idx="3">
                  <c:v>0.28154157345074271</c:v>
                </c:pt>
                <c:pt idx="4">
                  <c:v>0.26669406028466458</c:v>
                </c:pt>
                <c:pt idx="5">
                  <c:v>0.2541447223438893</c:v>
                </c:pt>
                <c:pt idx="6">
                  <c:v>0.24389355962841905</c:v>
                </c:pt>
                <c:pt idx="7">
                  <c:v>0.23594057213825256</c:v>
                </c:pt>
                <c:pt idx="8">
                  <c:v>0.23028575987338937</c:v>
                </c:pt>
                <c:pt idx="9">
                  <c:v>0.22692912283383079</c:v>
                </c:pt>
                <c:pt idx="10">
                  <c:v>0.2258706610195764</c:v>
                </c:pt>
                <c:pt idx="11">
                  <c:v>0.22711037443062485</c:v>
                </c:pt>
                <c:pt idx="12">
                  <c:v>0.23064826306697836</c:v>
                </c:pt>
                <c:pt idx="13">
                  <c:v>0.23648432692863561</c:v>
                </c:pt>
                <c:pt idx="14">
                  <c:v>0.24461856601559659</c:v>
                </c:pt>
                <c:pt idx="15">
                  <c:v>0.25505098032786078</c:v>
                </c:pt>
                <c:pt idx="16">
                  <c:v>0.26778156986543011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06E-9145-8693-5CFDC2C15140}"/>
            </c:ext>
          </c:extLst>
        </c:ser>
        <c:ser>
          <c:idx val="6"/>
          <c:order val="6"/>
          <c:tx>
            <c:strRef>
              <c:f>VolatilitySurface!$M$82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VolatilitySurface!$N$82:$AD$82</c:f>
              <c:numCache>
                <c:formatCode>General</c:formatCode>
                <c:ptCount val="17"/>
                <c:pt idx="0">
                  <c:v>0.33176994710586732</c:v>
                </c:pt>
                <c:pt idx="1">
                  <c:v>0.31093659995200407</c:v>
                </c:pt>
                <c:pt idx="2">
                  <c:v>0.29240142802344365</c:v>
                </c:pt>
                <c:pt idx="3">
                  <c:v>0.27616443132018853</c:v>
                </c:pt>
                <c:pt idx="4">
                  <c:v>0.26222560984223714</c:v>
                </c:pt>
                <c:pt idx="5">
                  <c:v>0.25058496358958865</c:v>
                </c:pt>
                <c:pt idx="6">
                  <c:v>0.24124249256224517</c:v>
                </c:pt>
                <c:pt idx="7">
                  <c:v>0.23419819676020542</c:v>
                </c:pt>
                <c:pt idx="8">
                  <c:v>0.22945207618346897</c:v>
                </c:pt>
                <c:pt idx="9">
                  <c:v>0.22700413083203719</c:v>
                </c:pt>
                <c:pt idx="10">
                  <c:v>0.22685436070590953</c:v>
                </c:pt>
                <c:pt idx="11">
                  <c:v>0.22900276580508472</c:v>
                </c:pt>
                <c:pt idx="12">
                  <c:v>0.23344934612956497</c:v>
                </c:pt>
                <c:pt idx="13">
                  <c:v>0.24019410167934896</c:v>
                </c:pt>
                <c:pt idx="14">
                  <c:v>0.24923703245443674</c:v>
                </c:pt>
                <c:pt idx="15">
                  <c:v>0.26057813845482775</c:v>
                </c:pt>
                <c:pt idx="16">
                  <c:v>0.27421741968052382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06E-9145-8693-5CFDC2C15140}"/>
            </c:ext>
          </c:extLst>
        </c:ser>
        <c:ser>
          <c:idx val="7"/>
          <c:order val="7"/>
          <c:tx>
            <c:strRef>
              <c:f>VolatilitySurface!$M$83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VolatilitySurface!$N$83:$AD$83</c:f>
              <c:numCache>
                <c:formatCode>General</c:formatCode>
                <c:ptCount val="17"/>
                <c:pt idx="0">
                  <c:v>0.32636556854810961</c:v>
                </c:pt>
                <c:pt idx="1">
                  <c:v>0.30644091308237315</c:v>
                </c:pt>
                <c:pt idx="2">
                  <c:v>0.28881443284193947</c:v>
                </c:pt>
                <c:pt idx="3">
                  <c:v>0.27348612782681114</c:v>
                </c:pt>
                <c:pt idx="4">
                  <c:v>0.26045599803698649</c:v>
                </c:pt>
                <c:pt idx="5">
                  <c:v>0.24972404347246474</c:v>
                </c:pt>
                <c:pt idx="6">
                  <c:v>0.241290264133248</c:v>
                </c:pt>
                <c:pt idx="7">
                  <c:v>0.23515466001933505</c:v>
                </c:pt>
                <c:pt idx="8">
                  <c:v>0.23131723113072539</c:v>
                </c:pt>
                <c:pt idx="9">
                  <c:v>0.22977797746742029</c:v>
                </c:pt>
                <c:pt idx="10">
                  <c:v>0.23053689902941943</c:v>
                </c:pt>
                <c:pt idx="11">
                  <c:v>0.23359399581672136</c:v>
                </c:pt>
                <c:pt idx="12">
                  <c:v>0.2389492678293284</c:v>
                </c:pt>
                <c:pt idx="13">
                  <c:v>0.24660271506723913</c:v>
                </c:pt>
                <c:pt idx="14">
                  <c:v>0.25655433753045365</c:v>
                </c:pt>
                <c:pt idx="15">
                  <c:v>0.2688041352189714</c:v>
                </c:pt>
                <c:pt idx="16">
                  <c:v>0.28335210813279427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06E-9145-8693-5CFDC2C15140}"/>
            </c:ext>
          </c:extLst>
        </c:ser>
        <c:ser>
          <c:idx val="8"/>
          <c:order val="8"/>
          <c:tx>
            <c:strRef>
              <c:f>VolatilitySurface!$M$84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VolatilitySurface!$N$84:$AD$84</c:f>
              <c:numCache>
                <c:formatCode>General</c:formatCode>
                <c:ptCount val="17"/>
                <c:pt idx="0">
                  <c:v>0.32366002862752868</c:v>
                </c:pt>
                <c:pt idx="1">
                  <c:v>0.30464406484991896</c:v>
                </c:pt>
                <c:pt idx="2">
                  <c:v>0.28792627629761208</c:v>
                </c:pt>
                <c:pt idx="3">
                  <c:v>0.27350666297061044</c:v>
                </c:pt>
                <c:pt idx="4">
                  <c:v>0.26138522486891258</c:v>
                </c:pt>
                <c:pt idx="5">
                  <c:v>0.25156196199251757</c:v>
                </c:pt>
                <c:pt idx="6">
                  <c:v>0.24403687434142762</c:v>
                </c:pt>
                <c:pt idx="7">
                  <c:v>0.23880996191564141</c:v>
                </c:pt>
                <c:pt idx="8">
                  <c:v>0.23588122471515849</c:v>
                </c:pt>
                <c:pt idx="9">
                  <c:v>0.23525066273998019</c:v>
                </c:pt>
                <c:pt idx="10">
                  <c:v>0.23691827599010601</c:v>
                </c:pt>
                <c:pt idx="11">
                  <c:v>0.24088406446553473</c:v>
                </c:pt>
                <c:pt idx="12">
                  <c:v>0.24714802816626852</c:v>
                </c:pt>
                <c:pt idx="13">
                  <c:v>0.25571016709230604</c:v>
                </c:pt>
                <c:pt idx="14">
                  <c:v>0.26657048124364729</c:v>
                </c:pt>
                <c:pt idx="15">
                  <c:v>0.27972897062029184</c:v>
                </c:pt>
                <c:pt idx="16">
                  <c:v>0.29518563522224139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06E-9145-8693-5CFDC2C15140}"/>
            </c:ext>
          </c:extLst>
        </c:ser>
        <c:ser>
          <c:idx val="9"/>
          <c:order val="9"/>
          <c:tx>
            <c:strRef>
              <c:f>VolatilitySurface!$M$85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VolatilitySurface!$N$85:$AD$85</c:f>
              <c:numCache>
                <c:formatCode>General</c:formatCode>
                <c:ptCount val="17"/>
                <c:pt idx="0">
                  <c:v>0.32365332734412455</c:v>
                </c:pt>
                <c:pt idx="1">
                  <c:v>0.30554605525464162</c:v>
                </c:pt>
                <c:pt idx="2">
                  <c:v>0.28973695839046143</c:v>
                </c:pt>
                <c:pt idx="3">
                  <c:v>0.27622603675158663</c:v>
                </c:pt>
                <c:pt idx="4">
                  <c:v>0.26501329033801546</c:v>
                </c:pt>
                <c:pt idx="5">
                  <c:v>0.25609871914974724</c:v>
                </c:pt>
                <c:pt idx="6">
                  <c:v>0.24948232318678407</c:v>
                </c:pt>
                <c:pt idx="7">
                  <c:v>0.24516410244912459</c:v>
                </c:pt>
                <c:pt idx="8">
                  <c:v>0.24314405693676841</c:v>
                </c:pt>
                <c:pt idx="9">
                  <c:v>0.24342218664971685</c:v>
                </c:pt>
                <c:pt idx="10">
                  <c:v>0.24599849158796946</c:v>
                </c:pt>
                <c:pt idx="11">
                  <c:v>0.2508729717515249</c:v>
                </c:pt>
                <c:pt idx="12">
                  <c:v>0.25804562714038548</c:v>
                </c:pt>
                <c:pt idx="13">
                  <c:v>0.2675164577545498</c:v>
                </c:pt>
                <c:pt idx="14">
                  <c:v>0.27928546359401774</c:v>
                </c:pt>
                <c:pt idx="15">
                  <c:v>0.29335264465878907</c:v>
                </c:pt>
                <c:pt idx="16">
                  <c:v>0.30971800094886548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06E-9145-8693-5CFDC2C15140}"/>
            </c:ext>
          </c:extLst>
        </c:ser>
        <c:ser>
          <c:idx val="10"/>
          <c:order val="10"/>
          <c:tx>
            <c:strRef>
              <c:f>VolatilitySurface!$M$86</c:f>
              <c:strCache>
                <c:ptCount val="1"/>
                <c:pt idx="0">
                  <c:v>1.1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VolatilitySurface!$N$86:$AD$86</c:f>
              <c:numCache>
                <c:formatCode>General</c:formatCode>
                <c:ptCount val="17"/>
                <c:pt idx="0">
                  <c:v>0.32634546469789716</c:v>
                </c:pt>
                <c:pt idx="1">
                  <c:v>0.30914688429654091</c:v>
                </c:pt>
                <c:pt idx="2">
                  <c:v>0.29424647912048751</c:v>
                </c:pt>
                <c:pt idx="3">
                  <c:v>0.28164424916973951</c:v>
                </c:pt>
                <c:pt idx="4">
                  <c:v>0.27134019444429514</c:v>
                </c:pt>
                <c:pt idx="5">
                  <c:v>0.2633343149441536</c:v>
                </c:pt>
                <c:pt idx="6">
                  <c:v>0.25762661066931714</c:v>
                </c:pt>
                <c:pt idx="7">
                  <c:v>0.2542170816197844</c:v>
                </c:pt>
                <c:pt idx="8">
                  <c:v>0.25310572779555496</c:v>
                </c:pt>
                <c:pt idx="9">
                  <c:v>0.25429254919663025</c:v>
                </c:pt>
                <c:pt idx="10">
                  <c:v>0.2577775458230096</c:v>
                </c:pt>
                <c:pt idx="11">
                  <c:v>0.2635607176746918</c:v>
                </c:pt>
                <c:pt idx="12">
                  <c:v>0.27164206475167907</c:v>
                </c:pt>
                <c:pt idx="13">
                  <c:v>0.28202158705397018</c:v>
                </c:pt>
                <c:pt idx="14">
                  <c:v>0.29469928458156491</c:v>
                </c:pt>
                <c:pt idx="15">
                  <c:v>0.30967515733446294</c:v>
                </c:pt>
                <c:pt idx="16">
                  <c:v>0.32694920531266602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06E-9145-8693-5CFDC2C15140}"/>
            </c:ext>
          </c:extLst>
        </c:ser>
        <c:ser>
          <c:idx val="11"/>
          <c:order val="11"/>
          <c:tx>
            <c:strRef>
              <c:f>VolatilitySurface!$M$87</c:f>
              <c:strCache>
                <c:ptCount val="1"/>
                <c:pt idx="0">
                  <c:v>1.2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VolatilitySurface!$N$87:$AD$87</c:f>
              <c:numCache>
                <c:formatCode>General</c:formatCode>
                <c:ptCount val="17"/>
                <c:pt idx="0">
                  <c:v>0.33173644068884656</c:v>
                </c:pt>
                <c:pt idx="1">
                  <c:v>0.31544655197561711</c:v>
                </c:pt>
                <c:pt idx="2">
                  <c:v>0.30145483848769045</c:v>
                </c:pt>
                <c:pt idx="3">
                  <c:v>0.28976130022506913</c:v>
                </c:pt>
                <c:pt idx="4">
                  <c:v>0.28036593718775155</c:v>
                </c:pt>
                <c:pt idx="5">
                  <c:v>0.27326874937573681</c:v>
                </c:pt>
                <c:pt idx="6">
                  <c:v>0.26846973678902708</c:v>
                </c:pt>
                <c:pt idx="7">
                  <c:v>0.26596889942762114</c:v>
                </c:pt>
                <c:pt idx="8">
                  <c:v>0.26576623729151849</c:v>
                </c:pt>
                <c:pt idx="9">
                  <c:v>0.26786175038072046</c:v>
                </c:pt>
                <c:pt idx="10">
                  <c:v>0.27225543869522661</c:v>
                </c:pt>
                <c:pt idx="11">
                  <c:v>0.27894730223503561</c:v>
                </c:pt>
                <c:pt idx="12">
                  <c:v>0.28793734100014967</c:v>
                </c:pt>
                <c:pt idx="13">
                  <c:v>0.29922555499056747</c:v>
                </c:pt>
                <c:pt idx="14">
                  <c:v>0.31281194420628899</c:v>
                </c:pt>
                <c:pt idx="15">
                  <c:v>0.3286965086473137</c:v>
                </c:pt>
                <c:pt idx="16">
                  <c:v>0.34687924831364358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06E-9145-8693-5CFDC2C15140}"/>
            </c:ext>
          </c:extLst>
        </c:ser>
        <c:ser>
          <c:idx val="12"/>
          <c:order val="12"/>
          <c:tx>
            <c:strRef>
              <c:f>VolatilitySurface!$M$88</c:f>
              <c:strCache>
                <c:ptCount val="1"/>
                <c:pt idx="0">
                  <c:v>1.3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VolatilitySurface!$N$88:$AD$88</c:f>
              <c:numCache>
                <c:formatCode>General</c:formatCode>
                <c:ptCount val="17"/>
                <c:pt idx="0">
                  <c:v>0.33982625531697264</c:v>
                </c:pt>
                <c:pt idx="1">
                  <c:v>0.32444505829186993</c:v>
                </c:pt>
                <c:pt idx="2">
                  <c:v>0.31136203649207006</c:v>
                </c:pt>
                <c:pt idx="3">
                  <c:v>0.30057718991757548</c:v>
                </c:pt>
                <c:pt idx="4">
                  <c:v>0.29209051856838458</c:v>
                </c:pt>
                <c:pt idx="5">
                  <c:v>0.28590202244449664</c:v>
                </c:pt>
                <c:pt idx="6">
                  <c:v>0.28201170154591376</c:v>
                </c:pt>
                <c:pt idx="7">
                  <c:v>0.28041955587263451</c:v>
                </c:pt>
                <c:pt idx="8">
                  <c:v>0.28112558542465865</c:v>
                </c:pt>
                <c:pt idx="9">
                  <c:v>0.28412979020198731</c:v>
                </c:pt>
                <c:pt idx="10">
                  <c:v>0.28943217020462025</c:v>
                </c:pt>
                <c:pt idx="11">
                  <c:v>0.29703272543255593</c:v>
                </c:pt>
                <c:pt idx="12">
                  <c:v>0.30693145588579679</c:v>
                </c:pt>
                <c:pt idx="13">
                  <c:v>0.31912836156434138</c:v>
                </c:pt>
                <c:pt idx="14">
                  <c:v>0.33362344246818959</c:v>
                </c:pt>
                <c:pt idx="15">
                  <c:v>0.3504166985973412</c:v>
                </c:pt>
                <c:pt idx="16">
                  <c:v>0.36950812995179777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06E-9145-8693-5CFDC2C1514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shade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851534847"/>
        <c:axId val="21872416"/>
        <c:axId val="1873039567"/>
      </c:surface3DChart>
      <c:catAx>
        <c:axId val="1851534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21872416"/>
        <c:crosses val="autoZero"/>
        <c:auto val="1"/>
        <c:lblAlgn val="ctr"/>
        <c:lblOffset val="100"/>
        <c:noMultiLvlLbl val="0"/>
      </c:catAx>
      <c:valAx>
        <c:axId val="2187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851534847"/>
        <c:crosses val="autoZero"/>
        <c:crossBetween val="midCat"/>
      </c:valAx>
      <c:serAx>
        <c:axId val="1873039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21872416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  <a:scene3d>
      <a:camera prst="orthographicFront"/>
      <a:lightRig rig="threePt" dir="t"/>
    </a:scene3d>
    <a:sp3d prstMaterial="metal"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Skew</a:t>
            </a:r>
            <a:r>
              <a:rPr lang="en-GB" baseline="0"/>
              <a:t> for different maturities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VolatilitySurface!$M$76</c:f>
              <c:strCache>
                <c:ptCount val="1"/>
                <c:pt idx="0">
                  <c:v>0.1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VolatilitySurface!$N$76:$AD$76</c:f>
              <c:numCache>
                <c:formatCode>General</c:formatCode>
                <c:ptCount val="17"/>
                <c:pt idx="0">
                  <c:v>0.42087182983312516</c:v>
                </c:pt>
                <c:pt idx="1">
                  <c:v>0.39458633255050135</c:v>
                </c:pt>
                <c:pt idx="2">
                  <c:v>0.37059901049318039</c:v>
                </c:pt>
                <c:pt idx="3">
                  <c:v>0.34890986366116478</c:v>
                </c:pt>
                <c:pt idx="4">
                  <c:v>0.32951889205445284</c:v>
                </c:pt>
                <c:pt idx="5">
                  <c:v>0.31242609567304375</c:v>
                </c:pt>
                <c:pt idx="6">
                  <c:v>0.29763147451693972</c:v>
                </c:pt>
                <c:pt idx="7">
                  <c:v>0.28513502858613948</c:v>
                </c:pt>
                <c:pt idx="8">
                  <c:v>0.27493675788064248</c:v>
                </c:pt>
                <c:pt idx="9">
                  <c:v>0.2670366624004501</c:v>
                </c:pt>
                <c:pt idx="10">
                  <c:v>0.26143474214556195</c:v>
                </c:pt>
                <c:pt idx="11">
                  <c:v>0.25813099711597659</c:v>
                </c:pt>
                <c:pt idx="12">
                  <c:v>0.2571254273116963</c:v>
                </c:pt>
                <c:pt idx="13">
                  <c:v>0.25841803273271979</c:v>
                </c:pt>
                <c:pt idx="14">
                  <c:v>0.26200881337904697</c:v>
                </c:pt>
                <c:pt idx="15">
                  <c:v>0.26789776925067743</c:v>
                </c:pt>
                <c:pt idx="16">
                  <c:v>0.27608490034761302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DA-D847-B509-F6A1E0A277D8}"/>
            </c:ext>
          </c:extLst>
        </c:ser>
        <c:ser>
          <c:idx val="1"/>
          <c:order val="1"/>
          <c:tx>
            <c:strRef>
              <c:f>VolatilitySurface!$M$77</c:f>
              <c:strCache>
                <c:ptCount val="1"/>
                <c:pt idx="0">
                  <c:v>0.2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VolatilitySurface!$N$77:$AD$77</c:f>
              <c:numCache>
                <c:formatCode>General</c:formatCode>
                <c:ptCount val="17"/>
                <c:pt idx="0">
                  <c:v>0.39927441945230696</c:v>
                </c:pt>
                <c:pt idx="1">
                  <c:v>0.37389761385780995</c:v>
                </c:pt>
                <c:pt idx="2">
                  <c:v>0.35081898348861573</c:v>
                </c:pt>
                <c:pt idx="3">
                  <c:v>0.33003852834472686</c:v>
                </c:pt>
                <c:pt idx="4">
                  <c:v>0.31155624842614166</c:v>
                </c:pt>
                <c:pt idx="5">
                  <c:v>0.29537214373285936</c:v>
                </c:pt>
                <c:pt idx="6">
                  <c:v>0.28148621426488207</c:v>
                </c:pt>
                <c:pt idx="7">
                  <c:v>0.26989846002220858</c:v>
                </c:pt>
                <c:pt idx="8">
                  <c:v>0.26060888100483837</c:v>
                </c:pt>
                <c:pt idx="9">
                  <c:v>0.25361747721277272</c:v>
                </c:pt>
                <c:pt idx="10">
                  <c:v>0.24892424864601131</c:v>
                </c:pt>
                <c:pt idx="11">
                  <c:v>0.24652919530455275</c:v>
                </c:pt>
                <c:pt idx="12">
                  <c:v>0.24643231718839922</c:v>
                </c:pt>
                <c:pt idx="13">
                  <c:v>0.24863361429754943</c:v>
                </c:pt>
                <c:pt idx="14">
                  <c:v>0.2531330866320034</c:v>
                </c:pt>
                <c:pt idx="15">
                  <c:v>0.2599307341917606</c:v>
                </c:pt>
                <c:pt idx="16">
                  <c:v>0.26902655697682293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DA-D847-B509-F6A1E0A277D8}"/>
            </c:ext>
          </c:extLst>
        </c:ser>
        <c:ser>
          <c:idx val="2"/>
          <c:order val="2"/>
          <c:tx>
            <c:strRef>
              <c:f>VolatilitySurface!$M$78</c:f>
              <c:strCache>
                <c:ptCount val="1"/>
                <c:pt idx="0">
                  <c:v>0.3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VolatilitySurface!$N$78:$AD$78</c:f>
              <c:numCache>
                <c:formatCode>General</c:formatCode>
                <c:ptCount val="17"/>
                <c:pt idx="0">
                  <c:v>0.3803758477086655</c:v>
                </c:pt>
                <c:pt idx="1">
                  <c:v>0.35590773380229523</c:v>
                </c:pt>
                <c:pt idx="2">
                  <c:v>0.33373779512122781</c:v>
                </c:pt>
                <c:pt idx="3">
                  <c:v>0.31386603166546567</c:v>
                </c:pt>
                <c:pt idx="4">
                  <c:v>0.29629244343500727</c:v>
                </c:pt>
                <c:pt idx="5">
                  <c:v>0.28101703042985171</c:v>
                </c:pt>
                <c:pt idx="6">
                  <c:v>0.26803979265000122</c:v>
                </c:pt>
                <c:pt idx="7">
                  <c:v>0.25736073009545446</c:v>
                </c:pt>
                <c:pt idx="8">
                  <c:v>0.24897984276621099</c:v>
                </c:pt>
                <c:pt idx="9">
                  <c:v>0.24289713066227214</c:v>
                </c:pt>
                <c:pt idx="10">
                  <c:v>0.23911259378363747</c:v>
                </c:pt>
                <c:pt idx="11">
                  <c:v>0.23762623213030565</c:v>
                </c:pt>
                <c:pt idx="12">
                  <c:v>0.23843804570227889</c:v>
                </c:pt>
                <c:pt idx="13">
                  <c:v>0.24154803449955586</c:v>
                </c:pt>
                <c:pt idx="14">
                  <c:v>0.24695619852213657</c:v>
                </c:pt>
                <c:pt idx="15">
                  <c:v>0.25466253777002057</c:v>
                </c:pt>
                <c:pt idx="16">
                  <c:v>0.26466705224320963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DA-D847-B509-F6A1E0A277D8}"/>
            </c:ext>
          </c:extLst>
        </c:ser>
        <c:ser>
          <c:idx val="3"/>
          <c:order val="3"/>
          <c:tx>
            <c:strRef>
              <c:f>VolatilitySurface!$M$79</c:f>
              <c:strCache>
                <c:ptCount val="1"/>
                <c:pt idx="0">
                  <c:v>0.4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VolatilitySurface!$N$79:$AD$79</c:f>
              <c:numCache>
                <c:formatCode>General</c:formatCode>
                <c:ptCount val="17"/>
                <c:pt idx="0">
                  <c:v>0.36417611460220078</c:v>
                </c:pt>
                <c:pt idx="1">
                  <c:v>0.34061669238395731</c:v>
                </c:pt>
                <c:pt idx="2">
                  <c:v>0.31935544539101662</c:v>
                </c:pt>
                <c:pt idx="3">
                  <c:v>0.30039237362338123</c:v>
                </c:pt>
                <c:pt idx="4">
                  <c:v>0.28372747708104962</c:v>
                </c:pt>
                <c:pt idx="5">
                  <c:v>0.2693607557640208</c:v>
                </c:pt>
                <c:pt idx="6">
                  <c:v>0.25729220967229705</c:v>
                </c:pt>
                <c:pt idx="7">
                  <c:v>0.24752183880587705</c:v>
                </c:pt>
                <c:pt idx="8">
                  <c:v>0.24004964316476035</c:v>
                </c:pt>
                <c:pt idx="9">
                  <c:v>0.23487562274894824</c:v>
                </c:pt>
                <c:pt idx="10">
                  <c:v>0.23199977755844034</c:v>
                </c:pt>
                <c:pt idx="11">
                  <c:v>0.23142210759323525</c:v>
                </c:pt>
                <c:pt idx="12">
                  <c:v>0.23314261285333526</c:v>
                </c:pt>
                <c:pt idx="13">
                  <c:v>0.23716129333873898</c:v>
                </c:pt>
                <c:pt idx="14">
                  <c:v>0.24347814904944645</c:v>
                </c:pt>
                <c:pt idx="15">
                  <c:v>0.25209317998545722</c:v>
                </c:pt>
                <c:pt idx="16">
                  <c:v>0.26300638614677302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DA-D847-B509-F6A1E0A277D8}"/>
            </c:ext>
          </c:extLst>
        </c:ser>
        <c:ser>
          <c:idx val="4"/>
          <c:order val="4"/>
          <c:tx>
            <c:strRef>
              <c:f>VolatilitySurface!$M$80</c:f>
              <c:strCache>
                <c:ptCount val="1"/>
                <c:pt idx="0">
                  <c:v>0.5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VolatilitySurface!$N$80:$AD$80</c:f>
              <c:numCache>
                <c:formatCode>General</c:formatCode>
                <c:ptCount val="17"/>
                <c:pt idx="0">
                  <c:v>0.35067522013291291</c:v>
                </c:pt>
                <c:pt idx="1">
                  <c:v>0.32802448960279618</c:v>
                </c:pt>
                <c:pt idx="2">
                  <c:v>0.30767193429798223</c:v>
                </c:pt>
                <c:pt idx="3">
                  <c:v>0.28961755421847357</c:v>
                </c:pt>
                <c:pt idx="4">
                  <c:v>0.2738613493642687</c:v>
                </c:pt>
                <c:pt idx="5">
                  <c:v>0.26040331973536662</c:v>
                </c:pt>
                <c:pt idx="6">
                  <c:v>0.24924346533176969</c:v>
                </c:pt>
                <c:pt idx="7">
                  <c:v>0.24038178615347644</c:v>
                </c:pt>
                <c:pt idx="8">
                  <c:v>0.23381828220048648</c:v>
                </c:pt>
                <c:pt idx="9">
                  <c:v>0.22955295347280114</c:v>
                </c:pt>
                <c:pt idx="10">
                  <c:v>0.22758579997041997</c:v>
                </c:pt>
                <c:pt idx="11">
                  <c:v>0.22791682169334165</c:v>
                </c:pt>
                <c:pt idx="12">
                  <c:v>0.23054601864156843</c:v>
                </c:pt>
                <c:pt idx="13">
                  <c:v>0.23547339081509891</c:v>
                </c:pt>
                <c:pt idx="14">
                  <c:v>0.24269893821393312</c:v>
                </c:pt>
                <c:pt idx="15">
                  <c:v>0.2522226608380706</c:v>
                </c:pt>
                <c:pt idx="16">
                  <c:v>0.2640445586875132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DA-D847-B509-F6A1E0A277D8}"/>
            </c:ext>
          </c:extLst>
        </c:ser>
        <c:ser>
          <c:idx val="5"/>
          <c:order val="5"/>
          <c:tx>
            <c:strRef>
              <c:f>VolatilitySurface!$M$81</c:f>
              <c:strCache>
                <c:ptCount val="1"/>
                <c:pt idx="0">
                  <c:v>0.6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VolatilitySurface!$N$81:$AD$81</c:f>
              <c:numCache>
                <c:formatCode>General</c:formatCode>
                <c:ptCount val="17"/>
                <c:pt idx="0">
                  <c:v>0.33987316430080172</c:v>
                </c:pt>
                <c:pt idx="1">
                  <c:v>0.31813112545881173</c:v>
                </c:pt>
                <c:pt idx="2">
                  <c:v>0.29868726184212457</c:v>
                </c:pt>
                <c:pt idx="3">
                  <c:v>0.28154157345074271</c:v>
                </c:pt>
                <c:pt idx="4">
                  <c:v>0.26669406028466458</c:v>
                </c:pt>
                <c:pt idx="5">
                  <c:v>0.2541447223438893</c:v>
                </c:pt>
                <c:pt idx="6">
                  <c:v>0.24389355962841905</c:v>
                </c:pt>
                <c:pt idx="7">
                  <c:v>0.23594057213825256</c:v>
                </c:pt>
                <c:pt idx="8">
                  <c:v>0.23028575987338937</c:v>
                </c:pt>
                <c:pt idx="9">
                  <c:v>0.22692912283383079</c:v>
                </c:pt>
                <c:pt idx="10">
                  <c:v>0.2258706610195764</c:v>
                </c:pt>
                <c:pt idx="11">
                  <c:v>0.22711037443062485</c:v>
                </c:pt>
                <c:pt idx="12">
                  <c:v>0.23064826306697836</c:v>
                </c:pt>
                <c:pt idx="13">
                  <c:v>0.23648432692863561</c:v>
                </c:pt>
                <c:pt idx="14">
                  <c:v>0.24461856601559659</c:v>
                </c:pt>
                <c:pt idx="15">
                  <c:v>0.25505098032786078</c:v>
                </c:pt>
                <c:pt idx="16">
                  <c:v>0.26778156986543011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DA-D847-B509-F6A1E0A277D8}"/>
            </c:ext>
          </c:extLst>
        </c:ser>
        <c:ser>
          <c:idx val="6"/>
          <c:order val="6"/>
          <c:tx>
            <c:strRef>
              <c:f>VolatilitySurface!$M$82</c:f>
              <c:strCache>
                <c:ptCount val="1"/>
                <c:pt idx="0">
                  <c:v>0.7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VolatilitySurface!$N$82:$AD$82</c:f>
              <c:numCache>
                <c:formatCode>General</c:formatCode>
                <c:ptCount val="17"/>
                <c:pt idx="0">
                  <c:v>0.33176994710586732</c:v>
                </c:pt>
                <c:pt idx="1">
                  <c:v>0.31093659995200407</c:v>
                </c:pt>
                <c:pt idx="2">
                  <c:v>0.29240142802344365</c:v>
                </c:pt>
                <c:pt idx="3">
                  <c:v>0.27616443132018853</c:v>
                </c:pt>
                <c:pt idx="4">
                  <c:v>0.26222560984223714</c:v>
                </c:pt>
                <c:pt idx="5">
                  <c:v>0.25058496358958865</c:v>
                </c:pt>
                <c:pt idx="6">
                  <c:v>0.24124249256224517</c:v>
                </c:pt>
                <c:pt idx="7">
                  <c:v>0.23419819676020542</c:v>
                </c:pt>
                <c:pt idx="8">
                  <c:v>0.22945207618346897</c:v>
                </c:pt>
                <c:pt idx="9">
                  <c:v>0.22700413083203719</c:v>
                </c:pt>
                <c:pt idx="10">
                  <c:v>0.22685436070590953</c:v>
                </c:pt>
                <c:pt idx="11">
                  <c:v>0.22900276580508472</c:v>
                </c:pt>
                <c:pt idx="12">
                  <c:v>0.23344934612956497</c:v>
                </c:pt>
                <c:pt idx="13">
                  <c:v>0.24019410167934896</c:v>
                </c:pt>
                <c:pt idx="14">
                  <c:v>0.24923703245443674</c:v>
                </c:pt>
                <c:pt idx="15">
                  <c:v>0.26057813845482775</c:v>
                </c:pt>
                <c:pt idx="16">
                  <c:v>0.27421741968052382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FDA-D847-B509-F6A1E0A277D8}"/>
            </c:ext>
          </c:extLst>
        </c:ser>
        <c:ser>
          <c:idx val="7"/>
          <c:order val="7"/>
          <c:tx>
            <c:strRef>
              <c:f>VolatilitySurface!$M$83</c:f>
              <c:strCache>
                <c:ptCount val="1"/>
                <c:pt idx="0">
                  <c:v>0.8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VolatilitySurface!$N$83:$AD$83</c:f>
              <c:numCache>
                <c:formatCode>General</c:formatCode>
                <c:ptCount val="17"/>
                <c:pt idx="0">
                  <c:v>0.32636556854810961</c:v>
                </c:pt>
                <c:pt idx="1">
                  <c:v>0.30644091308237315</c:v>
                </c:pt>
                <c:pt idx="2">
                  <c:v>0.28881443284193947</c:v>
                </c:pt>
                <c:pt idx="3">
                  <c:v>0.27348612782681114</c:v>
                </c:pt>
                <c:pt idx="4">
                  <c:v>0.26045599803698649</c:v>
                </c:pt>
                <c:pt idx="5">
                  <c:v>0.24972404347246474</c:v>
                </c:pt>
                <c:pt idx="6">
                  <c:v>0.241290264133248</c:v>
                </c:pt>
                <c:pt idx="7">
                  <c:v>0.23515466001933505</c:v>
                </c:pt>
                <c:pt idx="8">
                  <c:v>0.23131723113072539</c:v>
                </c:pt>
                <c:pt idx="9">
                  <c:v>0.22977797746742029</c:v>
                </c:pt>
                <c:pt idx="10">
                  <c:v>0.23053689902941943</c:v>
                </c:pt>
                <c:pt idx="11">
                  <c:v>0.23359399581672136</c:v>
                </c:pt>
                <c:pt idx="12">
                  <c:v>0.2389492678293284</c:v>
                </c:pt>
                <c:pt idx="13">
                  <c:v>0.24660271506723913</c:v>
                </c:pt>
                <c:pt idx="14">
                  <c:v>0.25655433753045365</c:v>
                </c:pt>
                <c:pt idx="15">
                  <c:v>0.2688041352189714</c:v>
                </c:pt>
                <c:pt idx="16">
                  <c:v>0.28335210813279427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FDA-D847-B509-F6A1E0A277D8}"/>
            </c:ext>
          </c:extLst>
        </c:ser>
        <c:ser>
          <c:idx val="8"/>
          <c:order val="8"/>
          <c:tx>
            <c:strRef>
              <c:f>VolatilitySurface!$M$84</c:f>
              <c:strCache>
                <c:ptCount val="1"/>
                <c:pt idx="0">
                  <c:v>0.9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</a:ln>
            <a:effectLst>
              <a:glow rad="139700"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VolatilitySurface!$N$84:$AD$84</c:f>
              <c:numCache>
                <c:formatCode>General</c:formatCode>
                <c:ptCount val="17"/>
                <c:pt idx="0">
                  <c:v>0.32366002862752868</c:v>
                </c:pt>
                <c:pt idx="1">
                  <c:v>0.30464406484991896</c:v>
                </c:pt>
                <c:pt idx="2">
                  <c:v>0.28792627629761208</c:v>
                </c:pt>
                <c:pt idx="3">
                  <c:v>0.27350666297061044</c:v>
                </c:pt>
                <c:pt idx="4">
                  <c:v>0.26138522486891258</c:v>
                </c:pt>
                <c:pt idx="5">
                  <c:v>0.25156196199251757</c:v>
                </c:pt>
                <c:pt idx="6">
                  <c:v>0.24403687434142762</c:v>
                </c:pt>
                <c:pt idx="7">
                  <c:v>0.23880996191564141</c:v>
                </c:pt>
                <c:pt idx="8">
                  <c:v>0.23588122471515849</c:v>
                </c:pt>
                <c:pt idx="9">
                  <c:v>0.23525066273998019</c:v>
                </c:pt>
                <c:pt idx="10">
                  <c:v>0.23691827599010601</c:v>
                </c:pt>
                <c:pt idx="11">
                  <c:v>0.24088406446553473</c:v>
                </c:pt>
                <c:pt idx="12">
                  <c:v>0.24714802816626852</c:v>
                </c:pt>
                <c:pt idx="13">
                  <c:v>0.25571016709230604</c:v>
                </c:pt>
                <c:pt idx="14">
                  <c:v>0.26657048124364729</c:v>
                </c:pt>
                <c:pt idx="15">
                  <c:v>0.27972897062029184</c:v>
                </c:pt>
                <c:pt idx="16">
                  <c:v>0.29518563522224139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FDA-D847-B509-F6A1E0A277D8}"/>
            </c:ext>
          </c:extLst>
        </c:ser>
        <c:ser>
          <c:idx val="9"/>
          <c:order val="9"/>
          <c:tx>
            <c:strRef>
              <c:f>VolatilitySurface!$M$85</c:f>
              <c:strCache>
                <c:ptCount val="1"/>
                <c:pt idx="0">
                  <c:v>1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VolatilitySurface!$N$85:$AD$85</c:f>
              <c:numCache>
                <c:formatCode>General</c:formatCode>
                <c:ptCount val="17"/>
                <c:pt idx="0">
                  <c:v>0.32365332734412455</c:v>
                </c:pt>
                <c:pt idx="1">
                  <c:v>0.30554605525464162</c:v>
                </c:pt>
                <c:pt idx="2">
                  <c:v>0.28973695839046143</c:v>
                </c:pt>
                <c:pt idx="3">
                  <c:v>0.27622603675158663</c:v>
                </c:pt>
                <c:pt idx="4">
                  <c:v>0.26501329033801546</c:v>
                </c:pt>
                <c:pt idx="5">
                  <c:v>0.25609871914974724</c:v>
                </c:pt>
                <c:pt idx="6">
                  <c:v>0.24948232318678407</c:v>
                </c:pt>
                <c:pt idx="7">
                  <c:v>0.24516410244912459</c:v>
                </c:pt>
                <c:pt idx="8">
                  <c:v>0.24314405693676841</c:v>
                </c:pt>
                <c:pt idx="9">
                  <c:v>0.24342218664971685</c:v>
                </c:pt>
                <c:pt idx="10">
                  <c:v>0.24599849158796946</c:v>
                </c:pt>
                <c:pt idx="11">
                  <c:v>0.2508729717515249</c:v>
                </c:pt>
                <c:pt idx="12">
                  <c:v>0.25804562714038548</c:v>
                </c:pt>
                <c:pt idx="13">
                  <c:v>0.2675164577545498</c:v>
                </c:pt>
                <c:pt idx="14">
                  <c:v>0.27928546359401774</c:v>
                </c:pt>
                <c:pt idx="15">
                  <c:v>0.29335264465878907</c:v>
                </c:pt>
                <c:pt idx="16">
                  <c:v>0.30971800094886548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FDA-D847-B509-F6A1E0A277D8}"/>
            </c:ext>
          </c:extLst>
        </c:ser>
        <c:ser>
          <c:idx val="10"/>
          <c:order val="10"/>
          <c:tx>
            <c:strRef>
              <c:f>VolatilitySurface!$M$86</c:f>
              <c:strCache>
                <c:ptCount val="1"/>
                <c:pt idx="0">
                  <c:v>1.1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</a:ln>
            <a:effectLst>
              <a:glow rad="139700">
                <a:schemeClr val="accent5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VolatilitySurface!$N$86:$AD$86</c:f>
              <c:numCache>
                <c:formatCode>General</c:formatCode>
                <c:ptCount val="17"/>
                <c:pt idx="0">
                  <c:v>0.32634546469789716</c:v>
                </c:pt>
                <c:pt idx="1">
                  <c:v>0.30914688429654091</c:v>
                </c:pt>
                <c:pt idx="2">
                  <c:v>0.29424647912048751</c:v>
                </c:pt>
                <c:pt idx="3">
                  <c:v>0.28164424916973951</c:v>
                </c:pt>
                <c:pt idx="4">
                  <c:v>0.27134019444429514</c:v>
                </c:pt>
                <c:pt idx="5">
                  <c:v>0.2633343149441536</c:v>
                </c:pt>
                <c:pt idx="6">
                  <c:v>0.25762661066931714</c:v>
                </c:pt>
                <c:pt idx="7">
                  <c:v>0.2542170816197844</c:v>
                </c:pt>
                <c:pt idx="8">
                  <c:v>0.25310572779555496</c:v>
                </c:pt>
                <c:pt idx="9">
                  <c:v>0.25429254919663025</c:v>
                </c:pt>
                <c:pt idx="10">
                  <c:v>0.2577775458230096</c:v>
                </c:pt>
                <c:pt idx="11">
                  <c:v>0.2635607176746918</c:v>
                </c:pt>
                <c:pt idx="12">
                  <c:v>0.27164206475167907</c:v>
                </c:pt>
                <c:pt idx="13">
                  <c:v>0.28202158705397018</c:v>
                </c:pt>
                <c:pt idx="14">
                  <c:v>0.29469928458156491</c:v>
                </c:pt>
                <c:pt idx="15">
                  <c:v>0.30967515733446294</c:v>
                </c:pt>
                <c:pt idx="16">
                  <c:v>0.32694920531266602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FDA-D847-B509-F6A1E0A277D8}"/>
            </c:ext>
          </c:extLst>
        </c:ser>
        <c:ser>
          <c:idx val="11"/>
          <c:order val="11"/>
          <c:tx>
            <c:strRef>
              <c:f>VolatilitySurface!$M$87</c:f>
              <c:strCache>
                <c:ptCount val="1"/>
                <c:pt idx="0">
                  <c:v>1.2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</a:ln>
            <a:effectLst>
              <a:glow rad="139700">
                <a:schemeClr val="accent6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VolatilitySurface!$N$87:$AD$87</c:f>
              <c:numCache>
                <c:formatCode>General</c:formatCode>
                <c:ptCount val="17"/>
                <c:pt idx="0">
                  <c:v>0.33173644068884656</c:v>
                </c:pt>
                <c:pt idx="1">
                  <c:v>0.31544655197561711</c:v>
                </c:pt>
                <c:pt idx="2">
                  <c:v>0.30145483848769045</c:v>
                </c:pt>
                <c:pt idx="3">
                  <c:v>0.28976130022506913</c:v>
                </c:pt>
                <c:pt idx="4">
                  <c:v>0.28036593718775155</c:v>
                </c:pt>
                <c:pt idx="5">
                  <c:v>0.27326874937573681</c:v>
                </c:pt>
                <c:pt idx="6">
                  <c:v>0.26846973678902708</c:v>
                </c:pt>
                <c:pt idx="7">
                  <c:v>0.26596889942762114</c:v>
                </c:pt>
                <c:pt idx="8">
                  <c:v>0.26576623729151849</c:v>
                </c:pt>
                <c:pt idx="9">
                  <c:v>0.26786175038072046</c:v>
                </c:pt>
                <c:pt idx="10">
                  <c:v>0.27225543869522661</c:v>
                </c:pt>
                <c:pt idx="11">
                  <c:v>0.27894730223503561</c:v>
                </c:pt>
                <c:pt idx="12">
                  <c:v>0.28793734100014967</c:v>
                </c:pt>
                <c:pt idx="13">
                  <c:v>0.29922555499056747</c:v>
                </c:pt>
                <c:pt idx="14">
                  <c:v>0.31281194420628899</c:v>
                </c:pt>
                <c:pt idx="15">
                  <c:v>0.3286965086473137</c:v>
                </c:pt>
                <c:pt idx="16">
                  <c:v>0.34687924831364358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FDA-D847-B509-F6A1E0A277D8}"/>
            </c:ext>
          </c:extLst>
        </c:ser>
        <c:ser>
          <c:idx val="12"/>
          <c:order val="12"/>
          <c:tx>
            <c:strRef>
              <c:f>VolatilitySurface!$M$88</c:f>
              <c:strCache>
                <c:ptCount val="1"/>
                <c:pt idx="0">
                  <c:v>1.3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</a:ln>
            <a:effectLst>
              <a:glow rad="139700">
                <a:schemeClr val="accent1">
                  <a:lumMod val="80000"/>
                  <a:lumOff val="2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VolatilitySurface!$N$88:$AD$88</c:f>
              <c:numCache>
                <c:formatCode>General</c:formatCode>
                <c:ptCount val="17"/>
                <c:pt idx="0">
                  <c:v>0.33982625531697264</c:v>
                </c:pt>
                <c:pt idx="1">
                  <c:v>0.32444505829186993</c:v>
                </c:pt>
                <c:pt idx="2">
                  <c:v>0.31136203649207006</c:v>
                </c:pt>
                <c:pt idx="3">
                  <c:v>0.30057718991757548</c:v>
                </c:pt>
                <c:pt idx="4">
                  <c:v>0.29209051856838458</c:v>
                </c:pt>
                <c:pt idx="5">
                  <c:v>0.28590202244449664</c:v>
                </c:pt>
                <c:pt idx="6">
                  <c:v>0.28201170154591376</c:v>
                </c:pt>
                <c:pt idx="7">
                  <c:v>0.28041955587263451</c:v>
                </c:pt>
                <c:pt idx="8">
                  <c:v>0.28112558542465865</c:v>
                </c:pt>
                <c:pt idx="9">
                  <c:v>0.28412979020198731</c:v>
                </c:pt>
                <c:pt idx="10">
                  <c:v>0.28943217020462025</c:v>
                </c:pt>
                <c:pt idx="11">
                  <c:v>0.29703272543255593</c:v>
                </c:pt>
                <c:pt idx="12">
                  <c:v>0.30693145588579679</c:v>
                </c:pt>
                <c:pt idx="13">
                  <c:v>0.31912836156434138</c:v>
                </c:pt>
                <c:pt idx="14">
                  <c:v>0.33362344246818959</c:v>
                </c:pt>
                <c:pt idx="15">
                  <c:v>0.3504166985973412</c:v>
                </c:pt>
                <c:pt idx="16">
                  <c:v>0.36950812995179777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FDA-D847-B509-F6A1E0A27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90080"/>
        <c:axId val="2119978911"/>
      </c:scatterChart>
      <c:valAx>
        <c:axId val="20290080"/>
        <c:scaling>
          <c:orientation val="minMax"/>
          <c:max val="3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2119978911"/>
        <c:crosses val="autoZero"/>
        <c:crossBetween val="midCat"/>
      </c:valAx>
      <c:valAx>
        <c:axId val="2119978911"/>
        <c:scaling>
          <c:orientation val="minMax"/>
          <c:max val="0.5"/>
          <c:min val="0.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20290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0</xdr:row>
          <xdr:rowOff>190500</xdr:rowOff>
        </xdr:from>
        <xdr:to>
          <xdr:col>5</xdr:col>
          <xdr:colOff>368300</xdr:colOff>
          <xdr:row>3</xdr:row>
          <xdr:rowOff>63500</xdr:rowOff>
        </xdr:to>
        <xdr:sp macro="" textlink="">
          <xdr:nvSpPr>
            <xdr:cNvPr id="2115" name="Button 67" descr="Load Maturities&#10;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 </a:t>
              </a: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Maturities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481958</xdr:colOff>
      <xdr:row>0</xdr:row>
      <xdr:rowOff>107552</xdr:rowOff>
    </xdr:from>
    <xdr:to>
      <xdr:col>29</xdr:col>
      <xdr:colOff>375226</xdr:colOff>
      <xdr:row>37</xdr:row>
      <xdr:rowOff>129887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115455</xdr:colOff>
      <xdr:row>26</xdr:row>
      <xdr:rowOff>86591</xdr:rowOff>
    </xdr:from>
    <xdr:to>
      <xdr:col>15</xdr:col>
      <xdr:colOff>0</xdr:colOff>
      <xdr:row>56</xdr:row>
      <xdr:rowOff>72159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1 (2)"/>
    </sheetNames>
    <definedNames>
      <definedName name="get_maturities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3D456-0050-4348-90FA-AA2EE7ED2BCF}">
  <sheetPr codeName="Sheet1"/>
  <dimension ref="A1:B31"/>
  <sheetViews>
    <sheetView workbookViewId="0">
      <selection activeCell="A16" sqref="A16"/>
    </sheetView>
  </sheetViews>
  <sheetFormatPr baseColWidth="10" defaultRowHeight="16" x14ac:dyDescent="0.2"/>
  <sheetData>
    <row r="1" spans="1:2" x14ac:dyDescent="0.2">
      <c r="A1" t="s">
        <v>39</v>
      </c>
    </row>
    <row r="2" spans="1:2" x14ac:dyDescent="0.2">
      <c r="A2" s="5" t="s">
        <v>42</v>
      </c>
    </row>
    <row r="3" spans="1:2" x14ac:dyDescent="0.2">
      <c r="A3" s="1">
        <v>44316</v>
      </c>
      <c r="B3" s="2"/>
    </row>
    <row r="4" spans="1:2" x14ac:dyDescent="0.2">
      <c r="A4" s="1">
        <v>44323</v>
      </c>
      <c r="B4" s="2"/>
    </row>
    <row r="5" spans="1:2" x14ac:dyDescent="0.2">
      <c r="A5" s="1">
        <v>44330</v>
      </c>
      <c r="B5" s="2"/>
    </row>
    <row r="6" spans="1:2" x14ac:dyDescent="0.2">
      <c r="A6" s="1">
        <v>44337</v>
      </c>
      <c r="B6" s="2"/>
    </row>
    <row r="7" spans="1:2" x14ac:dyDescent="0.2">
      <c r="A7" s="1">
        <v>44344</v>
      </c>
      <c r="B7" s="1"/>
    </row>
    <row r="8" spans="1:2" x14ac:dyDescent="0.2">
      <c r="A8" s="1">
        <v>44365</v>
      </c>
      <c r="B8" s="1"/>
    </row>
    <row r="9" spans="1:2" x14ac:dyDescent="0.2">
      <c r="A9" s="1">
        <v>44393</v>
      </c>
      <c r="B9" s="1"/>
    </row>
    <row r="10" spans="1:2" x14ac:dyDescent="0.2">
      <c r="A10" s="1">
        <v>44428</v>
      </c>
      <c r="B10" s="1"/>
    </row>
    <row r="11" spans="1:2" x14ac:dyDescent="0.2">
      <c r="A11" s="1">
        <v>44456</v>
      </c>
      <c r="B11" s="1"/>
    </row>
    <row r="12" spans="1:2" x14ac:dyDescent="0.2">
      <c r="A12" s="1">
        <v>44484</v>
      </c>
      <c r="B12" s="1"/>
    </row>
    <row r="13" spans="1:2" x14ac:dyDescent="0.2">
      <c r="A13" s="1">
        <v>44582</v>
      </c>
      <c r="B13" s="1"/>
    </row>
    <row r="14" spans="1:2" x14ac:dyDescent="0.2">
      <c r="A14" s="1">
        <v>44638</v>
      </c>
      <c r="B14" s="1"/>
    </row>
    <row r="15" spans="1:2" x14ac:dyDescent="0.2">
      <c r="A15" s="1">
        <v>44729</v>
      </c>
      <c r="B15" s="1"/>
    </row>
    <row r="16" spans="1:2" x14ac:dyDescent="0.2">
      <c r="A16" s="1"/>
      <c r="B16" s="1"/>
    </row>
    <row r="17" spans="1:2" x14ac:dyDescent="0.2">
      <c r="A17" s="1"/>
      <c r="B17" s="2"/>
    </row>
    <row r="18" spans="1:2" x14ac:dyDescent="0.2">
      <c r="A18" s="1"/>
      <c r="B18" s="2"/>
    </row>
    <row r="19" spans="1:2" x14ac:dyDescent="0.2">
      <c r="A19" s="1"/>
      <c r="B19" s="2"/>
    </row>
    <row r="20" spans="1:2" x14ac:dyDescent="0.2">
      <c r="A20" s="1"/>
      <c r="B20" s="2"/>
    </row>
    <row r="21" spans="1:2" x14ac:dyDescent="0.2">
      <c r="A21" s="1"/>
      <c r="B21" s="2"/>
    </row>
    <row r="22" spans="1:2" x14ac:dyDescent="0.2">
      <c r="A22" s="1"/>
      <c r="B22" s="2"/>
    </row>
    <row r="23" spans="1:2" x14ac:dyDescent="0.2">
      <c r="A23" s="1"/>
      <c r="B23" s="2"/>
    </row>
    <row r="24" spans="1:2" x14ac:dyDescent="0.2">
      <c r="A24" s="1"/>
      <c r="B24" s="2"/>
    </row>
    <row r="25" spans="1:2" x14ac:dyDescent="0.2">
      <c r="A25" s="1"/>
      <c r="B25" s="2"/>
    </row>
    <row r="26" spans="1:2" x14ac:dyDescent="0.2">
      <c r="A26" s="1"/>
      <c r="B26" s="2"/>
    </row>
    <row r="27" spans="1:2" x14ac:dyDescent="0.2">
      <c r="A27" s="1"/>
      <c r="B27" s="2"/>
    </row>
    <row r="28" spans="1:2" x14ac:dyDescent="0.2">
      <c r="A28" s="1"/>
    </row>
    <row r="29" spans="1:2" x14ac:dyDescent="0.2">
      <c r="A29" s="1"/>
      <c r="B29" s="1"/>
    </row>
    <row r="30" spans="1:2" x14ac:dyDescent="0.2">
      <c r="A30" s="1"/>
      <c r="B30" s="1"/>
    </row>
    <row r="31" spans="1:2" x14ac:dyDescent="0.2">
      <c r="B3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0ACBB-5B45-954F-A1B8-101B09681B1B}">
  <sheetPr codeName="Sheet2"/>
  <dimension ref="A1:AN56"/>
  <sheetViews>
    <sheetView showGridLines="0" zoomScale="75" workbookViewId="0">
      <selection activeCell="D2" sqref="D2"/>
    </sheetView>
  </sheetViews>
  <sheetFormatPr baseColWidth="10" defaultRowHeight="16" x14ac:dyDescent="0.2"/>
  <cols>
    <col min="2" max="2" width="11.5" style="2" customWidth="1"/>
    <col min="3" max="3" width="11" customWidth="1"/>
    <col min="4" max="4" width="14.33203125" customWidth="1"/>
    <col min="5" max="5" width="11" customWidth="1"/>
    <col min="7" max="7" width="14" customWidth="1"/>
    <col min="11" max="11" width="11.6640625" bestFit="1" customWidth="1"/>
    <col min="14" max="14" width="10.83203125" style="2"/>
    <col min="15" max="15" width="11" customWidth="1"/>
    <col min="16" max="16" width="10.33203125" customWidth="1"/>
    <col min="17" max="17" width="10.5" customWidth="1"/>
    <col min="21" max="21" width="10.33203125" customWidth="1"/>
    <col min="22" max="22" width="13.1640625" customWidth="1"/>
    <col min="24" max="24" width="11.6640625" customWidth="1"/>
    <col min="31" max="31" width="10.83203125" style="2"/>
    <col min="32" max="32" width="12.5" style="2" customWidth="1"/>
  </cols>
  <sheetData>
    <row r="1" spans="1:40" x14ac:dyDescent="0.2">
      <c r="A1" s="92" t="s">
        <v>21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</row>
    <row r="2" spans="1:40" ht="21" x14ac:dyDescent="0.25">
      <c r="A2" s="43"/>
      <c r="B2" s="99" t="s">
        <v>64</v>
      </c>
      <c r="C2" s="100"/>
      <c r="D2" s="60">
        <v>44729</v>
      </c>
      <c r="E2" s="48" t="str">
        <f>TEXT(D2,"yyyy-mm-dd")</f>
        <v>2022-06-17</v>
      </c>
      <c r="F2" s="44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93" t="s">
        <v>24</v>
      </c>
      <c r="S2" s="94"/>
      <c r="T2" s="43"/>
      <c r="U2" s="43"/>
      <c r="V2" s="46"/>
      <c r="W2" s="68"/>
      <c r="X2" s="68"/>
      <c r="Y2" s="111"/>
      <c r="Z2" s="68"/>
    </row>
    <row r="3" spans="1:40" x14ac:dyDescent="0.2">
      <c r="A3" s="43"/>
      <c r="B3" s="97" t="s">
        <v>2</v>
      </c>
      <c r="C3" s="98"/>
      <c r="D3" s="49">
        <v>0.01</v>
      </c>
      <c r="E3" s="43"/>
      <c r="F3" s="43"/>
      <c r="G3" s="43"/>
      <c r="H3" s="43"/>
      <c r="I3" s="43"/>
      <c r="J3" s="105" t="s">
        <v>32</v>
      </c>
      <c r="K3" s="106"/>
      <c r="L3" s="107"/>
      <c r="M3" s="43"/>
      <c r="N3" s="43"/>
      <c r="O3" s="43"/>
      <c r="P3" s="43"/>
      <c r="Q3" s="43"/>
      <c r="R3" s="95">
        <f ca="1">NOW()</f>
        <v>44297.805574305552</v>
      </c>
      <c r="S3" s="96"/>
      <c r="T3" s="43"/>
      <c r="U3" s="43"/>
      <c r="V3" s="46"/>
      <c r="W3" s="68"/>
      <c r="X3" s="68"/>
      <c r="Y3" s="111"/>
      <c r="Z3" s="68"/>
    </row>
    <row r="4" spans="1:40" x14ac:dyDescent="0.2">
      <c r="A4" s="43"/>
      <c r="B4" s="97" t="s">
        <v>22</v>
      </c>
      <c r="C4" s="98"/>
      <c r="D4" s="49">
        <v>8.5000000000000006E-3</v>
      </c>
      <c r="E4" s="43"/>
      <c r="F4" s="43"/>
      <c r="G4" s="43"/>
      <c r="H4" s="43"/>
      <c r="I4" s="43"/>
      <c r="J4" s="52" t="s">
        <v>33</v>
      </c>
      <c r="K4" s="45" t="s">
        <v>35</v>
      </c>
      <c r="L4" s="53"/>
      <c r="M4" s="43"/>
      <c r="N4" s="43"/>
      <c r="O4" s="43"/>
      <c r="P4" s="57"/>
      <c r="Q4" s="43"/>
      <c r="R4" s="46"/>
      <c r="S4" s="46"/>
      <c r="T4" s="43"/>
      <c r="U4" s="43"/>
      <c r="V4" s="46"/>
      <c r="W4" s="68"/>
      <c r="X4" s="68"/>
      <c r="Y4" s="111"/>
      <c r="Z4" s="68"/>
    </row>
    <row r="5" spans="1:40" x14ac:dyDescent="0.2">
      <c r="A5" s="43"/>
      <c r="B5" s="97" t="s">
        <v>23</v>
      </c>
      <c r="C5" s="98"/>
      <c r="D5" s="50">
        <f ca="1">(D2-R3)*(5/7)</f>
        <v>307.99601835317713</v>
      </c>
      <c r="E5" s="43"/>
      <c r="F5" s="43"/>
      <c r="G5" s="43"/>
      <c r="H5" s="43"/>
      <c r="I5" s="43"/>
      <c r="J5" s="52" t="s">
        <v>36</v>
      </c>
      <c r="K5" s="47">
        <v>227.5</v>
      </c>
      <c r="L5" s="69"/>
      <c r="M5" s="43"/>
      <c r="N5" s="43"/>
      <c r="O5" s="43"/>
      <c r="P5" s="43"/>
      <c r="Q5" s="43"/>
      <c r="R5" s="101" t="s">
        <v>27</v>
      </c>
      <c r="S5" s="102"/>
      <c r="T5" s="43"/>
      <c r="U5" s="43"/>
      <c r="V5" s="46"/>
      <c r="W5" s="68"/>
      <c r="X5" s="68"/>
      <c r="Y5" s="68"/>
      <c r="Z5" s="68"/>
    </row>
    <row r="6" spans="1:40" ht="24" x14ac:dyDescent="0.3">
      <c r="A6" s="43"/>
      <c r="B6" s="97" t="s">
        <v>25</v>
      </c>
      <c r="C6" s="98"/>
      <c r="D6" s="51">
        <f ca="1">D5/252</f>
        <v>1.2222064220364173</v>
      </c>
      <c r="E6" s="43"/>
      <c r="F6" s="43"/>
      <c r="G6" s="43" t="e" cm="1">
        <f t="array" ref="G6">bsm</f>
        <v>#NAME?</v>
      </c>
      <c r="H6" s="43"/>
      <c r="I6" s="43"/>
      <c r="J6" s="54" t="s">
        <v>37</v>
      </c>
      <c r="K6" s="55">
        <v>0.2</v>
      </c>
      <c r="L6" s="56"/>
      <c r="M6" s="43"/>
      <c r="N6" s="43"/>
      <c r="O6" s="43"/>
      <c r="P6" s="43"/>
      <c r="Q6" s="43"/>
      <c r="R6" s="103">
        <v>254</v>
      </c>
      <c r="S6" s="104"/>
      <c r="T6" s="43"/>
      <c r="U6" s="43"/>
      <c r="V6" s="43"/>
    </row>
    <row r="7" spans="1:40" ht="19" x14ac:dyDescent="0.25">
      <c r="A7" s="43"/>
      <c r="B7" s="43"/>
      <c r="C7" s="43"/>
      <c r="D7" s="43"/>
      <c r="E7" s="43"/>
      <c r="F7" s="43"/>
      <c r="G7" s="43"/>
      <c r="H7" s="43"/>
      <c r="I7" s="43"/>
      <c r="J7" s="61" t="s">
        <v>38</v>
      </c>
      <c r="K7" s="62" cm="1">
        <f t="array" aca="1" ref="K7" ca="1">IF(K4=A10,BSMPut(R6,K5,D6,D3,D4,K6),BSMCall(R6,K5,D6,D3,D4,K6))</f>
        <v>36.894304012886067</v>
      </c>
      <c r="L7" s="6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40" ht="17" thickBot="1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V8" s="43"/>
    </row>
    <row r="9" spans="1:40" x14ac:dyDescent="0.2">
      <c r="A9" t="s">
        <v>35</v>
      </c>
      <c r="B9" s="89" t="s">
        <v>30</v>
      </c>
      <c r="C9" s="89"/>
      <c r="D9" s="89"/>
      <c r="E9" s="89"/>
      <c r="F9" s="89"/>
      <c r="G9" s="89"/>
      <c r="H9" s="89"/>
      <c r="I9" s="90"/>
      <c r="J9" s="31"/>
      <c r="K9" s="32"/>
      <c r="L9" s="33"/>
      <c r="M9" s="91" t="s">
        <v>31</v>
      </c>
      <c r="N9" s="91"/>
      <c r="O9" s="89"/>
      <c r="P9" s="89"/>
      <c r="Q9" s="89"/>
      <c r="R9" s="89"/>
      <c r="S9" s="89"/>
      <c r="T9" s="89"/>
      <c r="W9" s="9"/>
      <c r="X9" s="85" t="s">
        <v>30</v>
      </c>
      <c r="Y9" s="86"/>
      <c r="Z9" s="86"/>
      <c r="AA9" s="86"/>
      <c r="AB9" s="86"/>
      <c r="AC9" s="86"/>
      <c r="AD9" s="87"/>
      <c r="AE9" s="11"/>
      <c r="AF9" s="83" t="s">
        <v>31</v>
      </c>
      <c r="AG9" s="83"/>
      <c r="AH9" s="83"/>
      <c r="AI9" s="83"/>
      <c r="AJ9" s="83"/>
      <c r="AK9" s="83"/>
      <c r="AL9" s="84"/>
      <c r="AM9" s="112"/>
      <c r="AN9" s="112"/>
    </row>
    <row r="10" spans="1:40" x14ac:dyDescent="0.2">
      <c r="A10" t="s">
        <v>34</v>
      </c>
      <c r="B10" s="34" t="s">
        <v>6</v>
      </c>
      <c r="C10" s="34" t="s">
        <v>5</v>
      </c>
      <c r="D10" s="34" t="s">
        <v>4</v>
      </c>
      <c r="E10" s="34" t="s">
        <v>3</v>
      </c>
      <c r="F10" s="34" t="s">
        <v>1</v>
      </c>
      <c r="G10" s="34" t="s">
        <v>26</v>
      </c>
      <c r="H10" s="34" t="s">
        <v>27</v>
      </c>
      <c r="I10" s="34" t="s">
        <v>29</v>
      </c>
      <c r="J10" s="88" t="s">
        <v>28</v>
      </c>
      <c r="K10" s="88"/>
      <c r="L10" s="88"/>
      <c r="M10" s="34" t="s">
        <v>29</v>
      </c>
      <c r="N10" s="34" t="s">
        <v>27</v>
      </c>
      <c r="O10" s="34" t="s">
        <v>26</v>
      </c>
      <c r="P10" s="34" t="s">
        <v>1</v>
      </c>
      <c r="Q10" s="34" t="s">
        <v>3</v>
      </c>
      <c r="R10" s="34" t="s">
        <v>4</v>
      </c>
      <c r="S10" s="34" t="s">
        <v>5</v>
      </c>
      <c r="T10" s="34" t="s">
        <v>6</v>
      </c>
      <c r="U10" s="2"/>
      <c r="V10" s="70" t="s">
        <v>41</v>
      </c>
      <c r="W10" s="10" cm="1">
        <f t="array" aca="1" ref="W10:AL54" ca="1">INDIRECT("'"&amp;E2&amp;"'!A1:P45")</f>
        <v>0</v>
      </c>
      <c r="X10" s="58" t="str">
        <f ca="1"/>
        <v>lastTradeDate_x</v>
      </c>
      <c r="Y10" s="59" t="str">
        <f ca="1"/>
        <v>lastPrice_x</v>
      </c>
      <c r="Z10" s="59" t="str">
        <f ca="1"/>
        <v>bid_x</v>
      </c>
      <c r="AA10" s="59" t="str">
        <f ca="1"/>
        <v>ask_x</v>
      </c>
      <c r="AB10" s="59" t="str">
        <f ca="1"/>
        <v>volume_x</v>
      </c>
      <c r="AC10" s="59" t="str">
        <f ca="1"/>
        <v>openInterest_x</v>
      </c>
      <c r="AD10" s="59" t="str">
        <f ca="1"/>
        <v>impliedVolatility_x</v>
      </c>
      <c r="AE10" s="6" t="str">
        <f ca="1"/>
        <v>strike</v>
      </c>
      <c r="AF10" s="7" t="str">
        <f ca="1"/>
        <v>lastTradeDate_y</v>
      </c>
      <c r="AG10" s="7" t="str">
        <f ca="1"/>
        <v>lastPrice_y</v>
      </c>
      <c r="AH10" s="7" t="str">
        <f ca="1"/>
        <v>bid_y</v>
      </c>
      <c r="AI10" s="7" t="str">
        <f ca="1"/>
        <v>ask_y</v>
      </c>
      <c r="AJ10" s="7" t="str">
        <f ca="1"/>
        <v>volume_y</v>
      </c>
      <c r="AK10" s="7" t="str">
        <f ca="1"/>
        <v>openInterest_y</v>
      </c>
      <c r="AL10" s="12" t="str">
        <f ca="1"/>
        <v>impliedVolatility_y</v>
      </c>
      <c r="AM10" s="112" t="s">
        <v>40</v>
      </c>
      <c r="AN10" s="112" t="s">
        <v>40</v>
      </c>
    </row>
    <row r="11" spans="1:40" x14ac:dyDescent="0.2">
      <c r="B11" s="37" cm="1">
        <f t="array" aca="1" ref="B11" ca="1">RhoC($R$6,K11,$D$6,$D$3,$D$4,I11)</f>
        <v>84.403961913651301</v>
      </c>
      <c r="C11" s="37" cm="1">
        <f t="array" aca="1" ref="C11" ca="1">Vega($R$6,K11,$D$6,$D$3,$D$4,I11)</f>
        <v>18.100516580882999</v>
      </c>
      <c r="D11" s="37" cm="1">
        <f t="array" aca="1" ref="D11" ca="1">ThetaC($R$6,K11,$D$6,$D$3,$D$4,I11)/252</f>
        <v>-1.4679551936411035E-2</v>
      </c>
      <c r="E11" s="37" cm="1">
        <f t="array" aca="1" ref="E11" ca="1">GammaCP($R$6,K11,$D$6,$D$3,$D$4,I11)</f>
        <v>3.343061837559365E-4</v>
      </c>
      <c r="F11" s="37" cm="1">
        <f t="array" aca="1" ref="F11" ca="1">DeltaC($R$6,K11,$D$6,$D$3,$D$4,I11)</f>
        <v>0.9614968153448199</v>
      </c>
      <c r="G11" s="38" cm="1">
        <f t="array" aca="1" ref="G11" ca="1">BSMCall($R$6,K11,$D$6,$D$3,$D$4,I11)</f>
        <v>175.16151132643807</v>
      </c>
      <c r="H11" s="39" cm="1">
        <f t="array" aca="1" ref="H11:H54" ca="1">INDIRECT("'"&amp;E2&amp;"'!C2:C45")</f>
        <v>152</v>
      </c>
      <c r="I11" s="66" cm="1">
        <f t="array" aca="1" ref="I11:I54" ca="1">INDIRECT("'"&amp;E2&amp;"'!H2:H45")</f>
        <v>0.68664864135742198</v>
      </c>
      <c r="J11" s="40"/>
      <c r="K11" s="41" cm="1">
        <f t="array" aca="1" ref="K11:K54" ca="1">INDIRECT("'"&amp;E2&amp;"'!I2:I45")</f>
        <v>80</v>
      </c>
      <c r="L11" s="42"/>
      <c r="M11" s="64" cm="1">
        <f t="array" aca="1" ref="M11:M54" ca="1">INDIRECT("'"&amp;E2&amp;"'!P2:P45")</f>
        <v>0.52563950927734382</v>
      </c>
      <c r="N11" s="72" cm="1">
        <f t="array" aca="1" ref="N11:N54" ca="1">INDIRECT("'"&amp;E2&amp;"'!K2:K45")</f>
        <v>0.63</v>
      </c>
      <c r="O11" s="38" cm="1">
        <f t="array" aca="1" ref="O11" ca="1">BSMPut($R$6,K11,$D$6,$D$3,$D$4,M11)</f>
        <v>0.68870899035405841</v>
      </c>
      <c r="P11" s="37" cm="1">
        <f t="array" aca="1" ref="P11" ca="1">DeltaP($R$6,K11,$D$6,$D$3,$D$4,M11)</f>
        <v>-1.1134091635637427E-2</v>
      </c>
      <c r="Q11" s="37" cm="1">
        <f t="array" aca="1" ref="Q11" ca="1">GammaCP($R$6,K11,$D$6,$D$3,$D$4,M11)</f>
        <v>1.9801401337440607E-4</v>
      </c>
      <c r="R11" s="37" cm="1">
        <f t="array" aca="1" ref="R11" ca="1">ThetaP($R$6,K11,$D$6,$D$3,$D$4,M11)</f>
        <v>-1.7537271884653445</v>
      </c>
      <c r="S11" s="37" cm="1">
        <f t="array" aca="1" ref="S11" ca="1">Vega($R$6,K11,$D$6,$D$3,$D$4,M11)</f>
        <v>8.2072171059953156</v>
      </c>
      <c r="T11" s="37" cm="1">
        <f t="array" aca="1" ref="T11" ca="1">RhoP($R$6,K11,$D$6,$D$3,$D$4,M11)</f>
        <v>-4.2982167592819076</v>
      </c>
      <c r="U11" s="68"/>
      <c r="V11" s="71">
        <f ca="1">(AM11+AN11)/2</f>
        <v>1827</v>
      </c>
      <c r="W11" s="8">
        <f ca="1"/>
        <v>0</v>
      </c>
      <c r="X11" s="15">
        <f ca="1"/>
        <v>44280.656018518523</v>
      </c>
      <c r="Y11" s="14">
        <f ca="1"/>
        <v>152</v>
      </c>
      <c r="Z11" s="14">
        <f ca="1"/>
        <v>173.5</v>
      </c>
      <c r="AA11" s="14">
        <f ca="1"/>
        <v>178.5</v>
      </c>
      <c r="AB11" s="14">
        <f ca="1"/>
        <v>3</v>
      </c>
      <c r="AC11" s="14">
        <f ca="1"/>
        <v>88</v>
      </c>
      <c r="AD11" s="14">
        <f ca="1"/>
        <v>0.68664864135742198</v>
      </c>
      <c r="AE11" s="6">
        <f ca="1"/>
        <v>80</v>
      </c>
      <c r="AF11" s="20">
        <f ca="1"/>
        <v>44293.750393518523</v>
      </c>
      <c r="AG11" s="18">
        <f ca="1"/>
        <v>0.63</v>
      </c>
      <c r="AH11" s="18">
        <f ca="1"/>
        <v>0.54</v>
      </c>
      <c r="AI11" s="18">
        <f ca="1"/>
        <v>0.71</v>
      </c>
      <c r="AJ11" s="18">
        <f ca="1"/>
        <v>18</v>
      </c>
      <c r="AK11" s="18">
        <f ca="1"/>
        <v>1679</v>
      </c>
      <c r="AL11" s="19">
        <f ca="1"/>
        <v>0.52563950927734382</v>
      </c>
      <c r="AM11" s="112">
        <f t="shared" ref="AM11:AM40" ca="1" si="0">AB11*ABS($R$6-AE11)</f>
        <v>522</v>
      </c>
      <c r="AN11" s="112">
        <f ca="1">AJ11*ABS($R$6-AE11)</f>
        <v>3132</v>
      </c>
    </row>
    <row r="12" spans="1:40" x14ac:dyDescent="0.2">
      <c r="B12" s="24" cm="1">
        <f t="array" aca="1" ref="B12" ca="1">RhoC($R$6,K12,$D$6,$D$3,$D$4,I12)</f>
        <v>102.62555340179667</v>
      </c>
      <c r="C12" s="24" cm="1">
        <f t="array" aca="1" ref="C12" ca="1">Vega($R$6,K12,$D$6,$D$3,$D$4,I12)</f>
        <v>0</v>
      </c>
      <c r="D12" s="24" cm="1">
        <f t="array" aca="1" ref="D12" ca="1">ThetaC($R$6,K12,$D$6,$D$3,$D$4,I12)/252</f>
        <v>5.146874242958949E-3</v>
      </c>
      <c r="E12" s="24" cm="1">
        <f t="array" aca="1" ref="E12" ca="1">GammaCP($R$6,K12,$D$6,$D$3,$D$4,I12)</f>
        <v>0</v>
      </c>
      <c r="F12" s="24" cm="1">
        <f t="array" aca="1" ref="F12" ca="1">DeltaC($R$6,K12,$D$6,$D$3,$D$4,I12)</f>
        <v>0.98966502213811891</v>
      </c>
      <c r="G12" s="25" cm="1">
        <f t="array" aca="1" ref="G12" ca="1">BSMCall($R$6,K12,$D$6,$D$3,$D$4,I12)</f>
        <v>167.40746826602782</v>
      </c>
      <c r="H12" s="26">
        <f ca="1"/>
        <v>104.29</v>
      </c>
      <c r="I12" s="67">
        <f ca="1"/>
        <v>1.0000000000000001E-5</v>
      </c>
      <c r="J12" s="27"/>
      <c r="K12" s="35">
        <f ca="1"/>
        <v>85</v>
      </c>
      <c r="L12" s="28"/>
      <c r="M12" s="65">
        <f ca="1"/>
        <v>0.51074708007812508</v>
      </c>
      <c r="N12" s="73">
        <f ca="1"/>
        <v>0.71</v>
      </c>
      <c r="O12" s="25" cm="1">
        <f t="array" aca="1" ref="O12" ca="1">BSMPut($R$6,K12,$D$6,$D$3,$D$4,M12)</f>
        <v>0.78777839147500117</v>
      </c>
      <c r="P12" s="24" cm="1">
        <f t="array" aca="1" ref="P12" ca="1">DeltaP($R$6,K12,$D$6,$D$3,$D$4,M12)</f>
        <v>-1.2930138877724189E-2</v>
      </c>
      <c r="Q12" s="24" cm="1">
        <f t="array" aca="1" ref="Q12" ca="1">GammaCP($R$6,K12,$D$6,$D$3,$D$4,M12)</f>
        <v>2.3199458467006544E-4</v>
      </c>
      <c r="R12" s="24" cm="1">
        <f t="array" aca="1" ref="R12" ca="1">ThetaP($R$6,K12,$D$6,$D$3,$D$4,M12)</f>
        <v>-1.93940824675941</v>
      </c>
      <c r="S12" s="24" cm="1">
        <f t="array" aca="1" ref="S12" ca="1">Vega($R$6,K12,$D$6,$D$3,$D$4,M12)</f>
        <v>9.3432019178641443</v>
      </c>
      <c r="T12" s="24" cm="1">
        <f t="array" aca="1" ref="T12" ca="1">RhoP($R$6,K12,$D$6,$D$3,$D$4,M12)</f>
        <v>-4.9768656978432579</v>
      </c>
      <c r="U12" s="68"/>
      <c r="V12" s="71">
        <f t="shared" ref="V12:V54" ca="1" si="1">(AM12+AN12)/2</f>
        <v>7013.5</v>
      </c>
      <c r="W12" s="8">
        <f ca="1"/>
        <v>1</v>
      </c>
      <c r="X12" s="15">
        <f ca="1"/>
        <v>44021.873819444438</v>
      </c>
      <c r="Y12" s="14">
        <f ca="1"/>
        <v>104.29</v>
      </c>
      <c r="Z12" s="14">
        <f ca="1"/>
        <v>0</v>
      </c>
      <c r="AA12" s="14">
        <f ca="1"/>
        <v>0</v>
      </c>
      <c r="AB12" s="14">
        <f ca="1"/>
        <v>3</v>
      </c>
      <c r="AC12" s="14">
        <f ca="1"/>
        <v>3</v>
      </c>
      <c r="AD12" s="14">
        <f ca="1"/>
        <v>1.0000000000000001E-5</v>
      </c>
      <c r="AE12" s="6">
        <f ca="1"/>
        <v>85</v>
      </c>
      <c r="AF12" s="20">
        <f ca="1"/>
        <v>44295.58898148148</v>
      </c>
      <c r="AG12" s="18">
        <f ca="1"/>
        <v>0.71</v>
      </c>
      <c r="AH12" s="18">
        <f ca="1"/>
        <v>0.63</v>
      </c>
      <c r="AI12" s="18">
        <f ca="1"/>
        <v>0.8</v>
      </c>
      <c r="AJ12" s="18">
        <f ca="1"/>
        <v>80</v>
      </c>
      <c r="AK12" s="18">
        <f ca="1"/>
        <v>549</v>
      </c>
      <c r="AL12" s="19">
        <f ca="1"/>
        <v>0.51074708007812508</v>
      </c>
      <c r="AM12" s="112">
        <f t="shared" ca="1" si="0"/>
        <v>507</v>
      </c>
      <c r="AN12" s="112">
        <f t="shared" ref="AN12:AN54" ca="1" si="2">AJ12*ABS($R$6-AE12)</f>
        <v>13520</v>
      </c>
    </row>
    <row r="13" spans="1:40" x14ac:dyDescent="0.2">
      <c r="B13" s="37" cm="1">
        <f t="array" aca="1" ref="B13" ca="1">RhoC($R$6,K13,$D$6,$D$3,$D$4,I13)</f>
        <v>108.66235066072589</v>
      </c>
      <c r="C13" s="37" cm="1">
        <f t="array" aca="1" ref="C13" ca="1">Vega($R$6,K13,$D$6,$D$3,$D$4,I13)</f>
        <v>0</v>
      </c>
      <c r="D13" s="37" cm="1">
        <f t="array" aca="1" ref="D13" ca="1">ThetaC($R$6,K13,$D$6,$D$3,$D$4,I13)/252</f>
        <v>4.9508717981478975E-3</v>
      </c>
      <c r="E13" s="37" cm="1">
        <f t="array" aca="1" ref="E13" ca="1">GammaCP($R$6,K13,$D$6,$D$3,$D$4,I13)</f>
        <v>0</v>
      </c>
      <c r="F13" s="37" cm="1">
        <f t="array" aca="1" ref="F13" ca="1">DeltaC($R$6,K13,$D$6,$D$3,$D$4,I13)</f>
        <v>0.98966502213811891</v>
      </c>
      <c r="G13" s="38" cm="1">
        <f t="array" aca="1" ref="G13" ca="1">BSMCall($R$6,K13,$D$6,$D$3,$D$4,I13)</f>
        <v>162.46820665678933</v>
      </c>
      <c r="H13" s="39">
        <f ca="1"/>
        <v>132.25</v>
      </c>
      <c r="I13" s="66">
        <f ca="1"/>
        <v>1.0000000000000001E-5</v>
      </c>
      <c r="J13" s="40"/>
      <c r="K13" s="41">
        <f ca="1"/>
        <v>90</v>
      </c>
      <c r="L13" s="42"/>
      <c r="M13" s="64">
        <f ca="1"/>
        <v>0.50464362548828123</v>
      </c>
      <c r="N13" s="72">
        <f ca="1"/>
        <v>0.82</v>
      </c>
      <c r="O13" s="38" cm="1">
        <f t="array" aca="1" ref="O13" ca="1">BSMPut($R$6,K13,$D$6,$D$3,$D$4,M13)</f>
        <v>0.98452133521467999</v>
      </c>
      <c r="P13" s="37" cm="1">
        <f t="array" aca="1" ref="P13" ca="1">DeltaP($R$6,K13,$D$6,$D$3,$D$4,M13)</f>
        <v>-1.5933174987397689E-2</v>
      </c>
      <c r="Q13" s="37" cm="1">
        <f t="array" aca="1" ref="Q13" ca="1">GammaCP($R$6,K13,$D$6,$D$3,$D$4,M13)</f>
        <v>2.8103835773546278E-4</v>
      </c>
      <c r="R13" s="37" cm="1">
        <f t="array" aca="1" ref="R13" ca="1">ThetaP($R$6,K13,$D$6,$D$3,$D$4,M13)</f>
        <v>-2.2928114494351544</v>
      </c>
      <c r="S13" s="37" cm="1">
        <f t="array" aca="1" ref="S13" ca="1">Vega($R$6,K13,$D$6,$D$3,$D$4,M13)</f>
        <v>11.18310455559001</v>
      </c>
      <c r="T13" s="37" cm="1">
        <f t="array" aca="1" ref="T13" ca="1">RhoP($R$6,K13,$D$6,$D$3,$D$4,M13)</f>
        <v>-6.1495900119601821</v>
      </c>
      <c r="U13" s="68"/>
      <c r="V13" s="71">
        <f t="shared" ca="1" si="1"/>
        <v>3362</v>
      </c>
      <c r="W13" s="8">
        <f ca="1"/>
        <v>2</v>
      </c>
      <c r="X13" s="15">
        <f ca="1"/>
        <v>44216.641979166663</v>
      </c>
      <c r="Y13" s="14">
        <f ca="1"/>
        <v>132.25</v>
      </c>
      <c r="Z13" s="14">
        <f ca="1"/>
        <v>152.15</v>
      </c>
      <c r="AA13" s="14">
        <f ca="1"/>
        <v>154</v>
      </c>
      <c r="AB13" s="14">
        <f ca="1"/>
        <v>1</v>
      </c>
      <c r="AC13" s="14">
        <f ca="1"/>
        <v>4</v>
      </c>
      <c r="AD13" s="14">
        <f ca="1"/>
        <v>1.0000000000000001E-5</v>
      </c>
      <c r="AE13" s="6">
        <f ca="1"/>
        <v>90</v>
      </c>
      <c r="AF13" s="20">
        <f ca="1"/>
        <v>44295.574513888889</v>
      </c>
      <c r="AG13" s="18">
        <f ca="1"/>
        <v>0.82</v>
      </c>
      <c r="AH13" s="18">
        <f ca="1"/>
        <v>0.72</v>
      </c>
      <c r="AI13" s="18">
        <f ca="1"/>
        <v>0.9</v>
      </c>
      <c r="AJ13" s="18">
        <f ca="1"/>
        <v>40</v>
      </c>
      <c r="AK13" s="18">
        <f ca="1"/>
        <v>430</v>
      </c>
      <c r="AL13" s="19">
        <f ca="1"/>
        <v>0.50464362548828123</v>
      </c>
      <c r="AM13" s="112">
        <f t="shared" ca="1" si="0"/>
        <v>164</v>
      </c>
      <c r="AN13" s="112">
        <f t="shared" ca="1" si="2"/>
        <v>6560</v>
      </c>
    </row>
    <row r="14" spans="1:40" x14ac:dyDescent="0.2">
      <c r="B14" s="24" cm="1">
        <f t="array" aca="1" ref="B14" ca="1">RhoC($R$6,K14,$D$6,$D$3,$D$4,I14)</f>
        <v>114.6991479196551</v>
      </c>
      <c r="C14" s="24" cm="1">
        <f t="array" aca="1" ref="C14" ca="1">Vega($R$6,K14,$D$6,$D$3,$D$4,I14)</f>
        <v>0</v>
      </c>
      <c r="D14" s="24" cm="1">
        <f t="array" aca="1" ref="D14" ca="1">ThetaC($R$6,K14,$D$6,$D$3,$D$4,I14)/252</f>
        <v>4.754869353336846E-3</v>
      </c>
      <c r="E14" s="24" cm="1">
        <f t="array" aca="1" ref="E14" ca="1">GammaCP($R$6,K14,$D$6,$D$3,$D$4,I14)</f>
        <v>0</v>
      </c>
      <c r="F14" s="24" cm="1">
        <f t="array" aca="1" ref="F14" ca="1">DeltaC($R$6,K14,$D$6,$D$3,$D$4,I14)</f>
        <v>0.98966502213811891</v>
      </c>
      <c r="G14" s="25" cm="1">
        <f t="array" aca="1" ref="G14" ca="1">BSMCall($R$6,K14,$D$6,$D$3,$D$4,I14)</f>
        <v>157.52894504755085</v>
      </c>
      <c r="H14" s="26">
        <f ca="1"/>
        <v>113.35</v>
      </c>
      <c r="I14" s="67">
        <f ca="1"/>
        <v>1.0000000000000001E-5</v>
      </c>
      <c r="J14" s="29"/>
      <c r="K14" s="36">
        <f ca="1"/>
        <v>95</v>
      </c>
      <c r="L14" s="30"/>
      <c r="M14" s="65">
        <f ca="1"/>
        <v>0.50562017822265615</v>
      </c>
      <c r="N14" s="73">
        <f ca="1"/>
        <v>1.53</v>
      </c>
      <c r="O14" s="25" cm="1">
        <f t="array" aca="1" ref="O14" ca="1">BSMPut($R$6,K14,$D$6,$D$3,$D$4,M14)</f>
        <v>1.3063894876750908</v>
      </c>
      <c r="P14" s="24" cm="1">
        <f t="array" aca="1" ref="P14" ca="1">DeltaP($R$6,K14,$D$6,$D$3,$D$4,M14)</f>
        <v>-2.0355910447559786E-2</v>
      </c>
      <c r="Q14" s="24" cm="1">
        <f t="array" aca="1" ref="Q14" ca="1">GammaCP($R$6,K14,$D$6,$D$3,$D$4,M14)</f>
        <v>3.4560891962560311E-4</v>
      </c>
      <c r="R14" s="24" cm="1">
        <f t="array" aca="1" ref="R14" ca="1">ThetaP($R$6,K14,$D$6,$D$3,$D$4,M14)</f>
        <v>-2.8293531955549738</v>
      </c>
      <c r="S14" s="24" cm="1">
        <f t="array" aca="1" ref="S14" ca="1">Vega($R$6,K14,$D$6,$D$3,$D$4,M14)</f>
        <v>13.779115306283719</v>
      </c>
      <c r="T14" s="24" cm="1">
        <f t="array" aca="1" ref="T14" ca="1">RhoP($R$6,K14,$D$6,$D$3,$D$4,M14)</f>
        <v>-7.9159752382703941</v>
      </c>
      <c r="U14" s="68"/>
      <c r="V14" s="71">
        <f t="shared" ca="1" si="1"/>
        <v>954</v>
      </c>
      <c r="W14" s="8">
        <f ca="1"/>
        <v>3</v>
      </c>
      <c r="X14" s="15">
        <f ca="1"/>
        <v>44106.662777777783</v>
      </c>
      <c r="Y14" s="14">
        <f ca="1"/>
        <v>113.35</v>
      </c>
      <c r="Z14" s="14">
        <f ca="1"/>
        <v>106</v>
      </c>
      <c r="AA14" s="14">
        <f ca="1"/>
        <v>111</v>
      </c>
      <c r="AB14" s="14">
        <f ca="1"/>
        <v>5</v>
      </c>
      <c r="AC14" s="14">
        <f ca="1"/>
        <v>19</v>
      </c>
      <c r="AD14" s="14">
        <f ca="1"/>
        <v>1.0000000000000001E-5</v>
      </c>
      <c r="AE14" s="6">
        <f ca="1"/>
        <v>95</v>
      </c>
      <c r="AF14" s="20">
        <f ca="1"/>
        <v>44252.862384259257</v>
      </c>
      <c r="AG14" s="18">
        <f ca="1"/>
        <v>1.53</v>
      </c>
      <c r="AH14" s="18">
        <f ca="1"/>
        <v>1</v>
      </c>
      <c r="AI14" s="18">
        <f ca="1"/>
        <v>1.2</v>
      </c>
      <c r="AJ14" s="18">
        <f ca="1"/>
        <v>7</v>
      </c>
      <c r="AK14" s="18">
        <f ca="1"/>
        <v>52</v>
      </c>
      <c r="AL14" s="19">
        <f ca="1"/>
        <v>0.50562017822265615</v>
      </c>
      <c r="AM14" s="112">
        <f t="shared" ca="1" si="0"/>
        <v>795</v>
      </c>
      <c r="AN14" s="112">
        <f t="shared" ca="1" si="2"/>
        <v>1113</v>
      </c>
    </row>
    <row r="15" spans="1:40" x14ac:dyDescent="0.2">
      <c r="B15" s="37" cm="1">
        <f t="array" aca="1" ref="B15" ca="1">RhoC($R$6,K15,$D$6,$D$3,$D$4,I15)</f>
        <v>120.73594517858433</v>
      </c>
      <c r="C15" s="37" cm="1">
        <f t="array" aca="1" ref="C15" ca="1">Vega($R$6,K15,$D$6,$D$3,$D$4,I15)</f>
        <v>0</v>
      </c>
      <c r="D15" s="37" cm="1">
        <f t="array" aca="1" ref="D15" ca="1">ThetaC($R$6,K15,$D$6,$D$3,$D$4,I15)/252</f>
        <v>4.5588669085257945E-3</v>
      </c>
      <c r="E15" s="37" cm="1">
        <f t="array" aca="1" ref="E15" ca="1">GammaCP($R$6,K15,$D$6,$D$3,$D$4,I15)</f>
        <v>0</v>
      </c>
      <c r="F15" s="37" cm="1">
        <f t="array" aca="1" ref="F15" ca="1">DeltaC($R$6,K15,$D$6,$D$3,$D$4,I15)</f>
        <v>0.98966502213811891</v>
      </c>
      <c r="G15" s="38" cm="1">
        <f t="array" aca="1" ref="G15" ca="1">BSMCall($R$6,K15,$D$6,$D$3,$D$4,I15)</f>
        <v>152.58968343831233</v>
      </c>
      <c r="H15" s="39">
        <f ca="1"/>
        <v>135.19999999999999</v>
      </c>
      <c r="I15" s="66">
        <f ca="1"/>
        <v>1.0000000000000001E-5</v>
      </c>
      <c r="J15" s="40"/>
      <c r="K15" s="41">
        <f ca="1"/>
        <v>100</v>
      </c>
      <c r="L15" s="42"/>
      <c r="M15" s="64">
        <f ca="1"/>
        <v>0.47168497070312498</v>
      </c>
      <c r="N15" s="72">
        <f ca="1"/>
        <v>1.01</v>
      </c>
      <c r="O15" s="38" cm="1">
        <f t="array" aca="1" ref="O15" ca="1">BSMPut($R$6,K15,$D$6,$D$3,$D$4,M15)</f>
        <v>1.168922648944033</v>
      </c>
      <c r="P15" s="37" cm="1">
        <f t="array" aca="1" ref="P15" ca="1">DeltaP($R$6,K15,$D$6,$D$3,$D$4,M15)</f>
        <v>-1.9885036262480636E-2</v>
      </c>
      <c r="Q15" s="37" cm="1">
        <f t="array" aca="1" ref="Q15" ca="1">GammaCP($R$6,K15,$D$6,$D$3,$D$4,M15)</f>
        <v>3.6319650771224251E-4</v>
      </c>
      <c r="R15" s="37" cm="1">
        <f t="array" aca="1" ref="R15" ca="1">ThetaP($R$6,K15,$D$6,$D$3,$D$4,M15)</f>
        <v>-2.5873873181804092</v>
      </c>
      <c r="S15" s="37" cm="1">
        <f t="array" aca="1" ref="S15" ca="1">Vega($R$6,K15,$D$6,$D$3,$D$4,M15)</f>
        <v>13.508455520039963</v>
      </c>
      <c r="T15" s="37" cm="1">
        <f t="array" aca="1" ref="T15" ca="1">RhoP($R$6,K15,$D$6,$D$3,$D$4,M15)</f>
        <v>-7.601784000100654</v>
      </c>
      <c r="U15" s="68"/>
      <c r="V15" s="71">
        <f t="shared" ca="1" si="1"/>
        <v>385</v>
      </c>
      <c r="W15" s="8">
        <f ca="1"/>
        <v>4</v>
      </c>
      <c r="X15" s="15">
        <f ca="1"/>
        <v>44249.642337962963</v>
      </c>
      <c r="Y15" s="14">
        <f ca="1"/>
        <v>135.19999999999999</v>
      </c>
      <c r="Z15" s="14">
        <f ca="1"/>
        <v>136.6</v>
      </c>
      <c r="AA15" s="14">
        <f ca="1"/>
        <v>137.75</v>
      </c>
      <c r="AB15" s="14">
        <f ca="1"/>
        <v>1</v>
      </c>
      <c r="AC15" s="14">
        <f ca="1"/>
        <v>129</v>
      </c>
      <c r="AD15" s="14">
        <f ca="1"/>
        <v>1.0000000000000001E-5</v>
      </c>
      <c r="AE15" s="6">
        <f ca="1"/>
        <v>100</v>
      </c>
      <c r="AF15" s="20">
        <f ca="1"/>
        <v>44295.673032407409</v>
      </c>
      <c r="AG15" s="18">
        <f ca="1"/>
        <v>1.01</v>
      </c>
      <c r="AH15" s="18">
        <f ca="1"/>
        <v>0.94</v>
      </c>
      <c r="AI15" s="18">
        <f ca="1"/>
        <v>1.07</v>
      </c>
      <c r="AJ15" s="18">
        <f ca="1"/>
        <v>4</v>
      </c>
      <c r="AK15" s="18">
        <f ca="1"/>
        <v>1424</v>
      </c>
      <c r="AL15" s="19">
        <f ca="1"/>
        <v>0.47168497070312498</v>
      </c>
      <c r="AM15" s="112">
        <f ca="1">AB15*ABS($R$6-AE15)</f>
        <v>154</v>
      </c>
      <c r="AN15" s="112">
        <f t="shared" ca="1" si="2"/>
        <v>616</v>
      </c>
    </row>
    <row r="16" spans="1:40" x14ac:dyDescent="0.2">
      <c r="B16" s="24" cm="1">
        <f t="array" aca="1" ref="B16" ca="1">RhoC($R$6,K16,$D$6,$D$3,$D$4,I16)</f>
        <v>126.77274243751354</v>
      </c>
      <c r="C16" s="24" cm="1">
        <f t="array" aca="1" ref="C16" ca="1">Vega($R$6,K16,$D$6,$D$3,$D$4,I16)</f>
        <v>0</v>
      </c>
      <c r="D16" s="24" cm="1">
        <f t="array" aca="1" ref="D16" ca="1">ThetaC($R$6,K16,$D$6,$D$3,$D$4,I16)/252</f>
        <v>4.3628644637147438E-3</v>
      </c>
      <c r="E16" s="24" cm="1">
        <f t="array" aca="1" ref="E16" ca="1">GammaCP($R$6,K16,$D$6,$D$3,$D$4,I16)</f>
        <v>0</v>
      </c>
      <c r="F16" s="24" cm="1">
        <f t="array" aca="1" ref="F16" ca="1">DeltaC($R$6,K16,$D$6,$D$3,$D$4,I16)</f>
        <v>0.98966502213811891</v>
      </c>
      <c r="G16" s="25" cm="1">
        <f t="array" aca="1" ref="G16" ca="1">BSMCall($R$6,K16,$D$6,$D$3,$D$4,I16)</f>
        <v>147.65042182907385</v>
      </c>
      <c r="H16" s="26">
        <f ca="1"/>
        <v>120.31</v>
      </c>
      <c r="I16" s="67">
        <f ca="1"/>
        <v>1.0000000000000001E-5</v>
      </c>
      <c r="J16" s="27"/>
      <c r="K16" s="35">
        <f ca="1"/>
        <v>105</v>
      </c>
      <c r="L16" s="28"/>
      <c r="M16" s="65">
        <f ca="1"/>
        <v>0.46155323608398452</v>
      </c>
      <c r="N16" s="73">
        <f ca="1"/>
        <v>1.1599999999999999</v>
      </c>
      <c r="O16" s="25" cm="1">
        <f t="array" aca="1" ref="O16" ca="1">BSMPut($R$6,K16,$D$6,$D$3,$D$4,M16)</f>
        <v>1.3500231892485033</v>
      </c>
      <c r="P16" s="24" cm="1">
        <f t="array" aca="1" ref="P16" ca="1">DeltaP($R$6,K16,$D$6,$D$3,$D$4,M16)</f>
        <v>-2.3058126556248563E-2</v>
      </c>
      <c r="Q16" s="24" cm="1">
        <f t="array" aca="1" ref="Q16" ca="1">GammaCP($R$6,K16,$D$6,$D$3,$D$4,M16)</f>
        <v>4.2062963944618822E-4</v>
      </c>
      <c r="R16" s="24" cm="1">
        <f t="array" aca="1" ref="R16" ca="1">ThetaP($R$6,K16,$D$6,$D$3,$D$4,M16)</f>
        <v>-2.8682674426074661</v>
      </c>
      <c r="S16" s="24" cm="1">
        <f t="array" aca="1" ref="S16" ca="1">Vega($R$6,K16,$D$6,$D$3,$D$4,M16)</f>
        <v>15.308536240331058</v>
      </c>
      <c r="T16" s="24" cm="1">
        <f t="array" aca="1" ref="T16" ca="1">RhoP($R$6,K16,$D$6,$D$3,$D$4,M16)</f>
        <v>-8.8081817625201371</v>
      </c>
      <c r="U16" s="68"/>
      <c r="V16" s="71">
        <f t="shared" ca="1" si="1"/>
        <v>149</v>
      </c>
      <c r="W16" s="8">
        <f ca="1"/>
        <v>5</v>
      </c>
      <c r="X16" s="15">
        <f ca="1"/>
        <v>44217.722719907397</v>
      </c>
      <c r="Y16" s="14">
        <f ca="1"/>
        <v>120.31</v>
      </c>
      <c r="Z16" s="14">
        <f ca="1"/>
        <v>134.5</v>
      </c>
      <c r="AA16" s="14">
        <f ca="1"/>
        <v>139.5</v>
      </c>
      <c r="AB16" s="14">
        <f ca="1"/>
        <v>1</v>
      </c>
      <c r="AC16" s="14">
        <f ca="1"/>
        <v>12</v>
      </c>
      <c r="AD16" s="14">
        <f ca="1"/>
        <v>1.0000000000000001E-5</v>
      </c>
      <c r="AE16" s="6">
        <f ca="1"/>
        <v>105</v>
      </c>
      <c r="AF16" s="20">
        <f ca="1"/>
        <v>44295.614571759259</v>
      </c>
      <c r="AG16" s="18">
        <f ca="1"/>
        <v>1.1599999999999999</v>
      </c>
      <c r="AH16" s="18">
        <f ca="1"/>
        <v>1.06</v>
      </c>
      <c r="AI16" s="18">
        <f ca="1"/>
        <v>1.24</v>
      </c>
      <c r="AJ16" s="18">
        <f ca="1"/>
        <v>1</v>
      </c>
      <c r="AK16" s="18">
        <f ca="1"/>
        <v>335</v>
      </c>
      <c r="AL16" s="19">
        <f ca="1"/>
        <v>0.46155323608398452</v>
      </c>
      <c r="AM16" s="112">
        <f t="shared" ca="1" si="0"/>
        <v>149</v>
      </c>
      <c r="AN16" s="112">
        <f t="shared" ca="1" si="2"/>
        <v>149</v>
      </c>
    </row>
    <row r="17" spans="2:40" x14ac:dyDescent="0.2">
      <c r="B17" s="37" cm="1">
        <f t="array" aca="1" ref="B17" ca="1">RhoC($R$6,K17,$D$6,$D$3,$D$4,I17)</f>
        <v>132.80953969644276</v>
      </c>
      <c r="C17" s="37" cm="1">
        <f t="array" aca="1" ref="C17" ca="1">Vega($R$6,K17,$D$6,$D$3,$D$4,I17)</f>
        <v>0</v>
      </c>
      <c r="D17" s="37" cm="1">
        <f t="array" aca="1" ref="D17" ca="1">ThetaC($R$6,K17,$D$6,$D$3,$D$4,I17)/252</f>
        <v>4.1668620189036923E-3</v>
      </c>
      <c r="E17" s="37" cm="1">
        <f t="array" aca="1" ref="E17" ca="1">GammaCP($R$6,K17,$D$6,$D$3,$D$4,I17)</f>
        <v>0</v>
      </c>
      <c r="F17" s="37" cm="1">
        <f t="array" aca="1" ref="F17" ca="1">DeltaC($R$6,K17,$D$6,$D$3,$D$4,I17)</f>
        <v>0.98966502213811891</v>
      </c>
      <c r="G17" s="38" cm="1">
        <f t="array" aca="1" ref="G17" ca="1">BSMCall($R$6,K17,$D$6,$D$3,$D$4,I17)</f>
        <v>142.71116021983534</v>
      </c>
      <c r="H17" s="39">
        <f ca="1"/>
        <v>126</v>
      </c>
      <c r="I17" s="66">
        <f ca="1"/>
        <v>1.0000000000000001E-5</v>
      </c>
      <c r="J17" s="40"/>
      <c r="K17" s="41">
        <f ca="1"/>
        <v>110</v>
      </c>
      <c r="L17" s="42"/>
      <c r="M17" s="64">
        <f ca="1"/>
        <v>0.44812563598632799</v>
      </c>
      <c r="N17" s="72">
        <f ca="1"/>
        <v>1.58</v>
      </c>
      <c r="O17" s="38" cm="1">
        <f t="array" aca="1" ref="O17" ca="1">BSMPut($R$6,K17,$D$6,$D$3,$D$4,M17)</f>
        <v>1.4889130579021241</v>
      </c>
      <c r="P17" s="37" cm="1">
        <f t="array" aca="1" ref="P17" ca="1">DeltaP($R$6,K17,$D$6,$D$3,$D$4,M17)</f>
        <v>-2.5883347130885224E-2</v>
      </c>
      <c r="Q17" s="37" cm="1">
        <f t="array" aca="1" ref="Q17" ca="1">GammaCP($R$6,K17,$D$6,$D$3,$D$4,M17)</f>
        <v>4.7734771065784614E-4</v>
      </c>
      <c r="R17" s="37" cm="1">
        <f t="array" aca="1" ref="R17" ca="1">ThetaP($R$6,K17,$D$6,$D$3,$D$4,M17)</f>
        <v>-3.0674798203914775</v>
      </c>
      <c r="S17" s="37" cm="1">
        <f t="array" aca="1" ref="S17" ca="1">Vega($R$6,K17,$D$6,$D$3,$D$4,M17)</f>
        <v>16.867341118789795</v>
      </c>
      <c r="T17" s="37" cm="1">
        <f t="array" aca="1" ref="T17" ca="1">RhoP($R$6,K17,$D$6,$D$3,$D$4,M17)</f>
        <v>-9.8549965453619723</v>
      </c>
      <c r="U17" s="68"/>
      <c r="V17" s="71">
        <f ca="1">(AM17+AN17)/2</f>
        <v>15120</v>
      </c>
      <c r="W17" s="8">
        <f ca="1"/>
        <v>6</v>
      </c>
      <c r="X17" s="15">
        <f ca="1"/>
        <v>44249.744143518517</v>
      </c>
      <c r="Y17" s="14">
        <f ca="1"/>
        <v>126</v>
      </c>
      <c r="Z17" s="14">
        <f ca="1"/>
        <v>126.9</v>
      </c>
      <c r="AA17" s="14">
        <f ca="1"/>
        <v>127.85</v>
      </c>
      <c r="AB17" s="14">
        <f ca="1"/>
        <v>10</v>
      </c>
      <c r="AC17" s="14">
        <f ca="1"/>
        <v>102</v>
      </c>
      <c r="AD17" s="14">
        <f ca="1"/>
        <v>1.0000000000000001E-5</v>
      </c>
      <c r="AE17" s="6">
        <f ca="1"/>
        <v>110</v>
      </c>
      <c r="AF17" s="20">
        <f ca="1"/>
        <v>44284.660925925928</v>
      </c>
      <c r="AG17" s="18">
        <f ca="1"/>
        <v>1.58</v>
      </c>
      <c r="AH17" s="18">
        <f ca="1"/>
        <v>1.19</v>
      </c>
      <c r="AI17" s="18">
        <f ca="1"/>
        <v>1.37</v>
      </c>
      <c r="AJ17" s="18">
        <f ca="1"/>
        <v>200</v>
      </c>
      <c r="AK17" s="18">
        <f ca="1"/>
        <v>472</v>
      </c>
      <c r="AL17" s="19">
        <f ca="1"/>
        <v>0.44812563598632799</v>
      </c>
      <c r="AM17" s="112">
        <f t="shared" ca="1" si="0"/>
        <v>1440</v>
      </c>
      <c r="AN17" s="112">
        <f t="shared" ca="1" si="2"/>
        <v>28800</v>
      </c>
    </row>
    <row r="18" spans="2:40" x14ac:dyDescent="0.2">
      <c r="B18" s="24" cm="1">
        <f t="array" aca="1" ref="B18" ca="1">RhoC($R$6,K18,$D$6,$D$3,$D$4,I18)</f>
        <v>120.76980206265949</v>
      </c>
      <c r="C18" s="24" cm="1">
        <f t="array" aca="1" ref="C18" ca="1">Vega($R$6,K18,$D$6,$D$3,$D$4,I18)</f>
        <v>26.595384145927866</v>
      </c>
      <c r="D18" s="24" cm="1">
        <f t="array" aca="1" ref="D18" ca="1">ThetaC($R$6,K18,$D$6,$D$3,$D$4,I18)/252</f>
        <v>-1.7863992930900567E-2</v>
      </c>
      <c r="E18" s="24" cm="1">
        <f t="array" aca="1" ref="E18" ca="1">GammaCP($R$6,K18,$D$6,$D$3,$D$4,I18)</f>
        <v>6.6084541749752263E-4</v>
      </c>
      <c r="F18" s="24" cm="1">
        <f t="array" aca="1" ref="F18" ca="1">DeltaC($R$6,K18,$D$6,$D$3,$D$4,I18)</f>
        <v>0.94459611419452161</v>
      </c>
      <c r="G18" s="25" cm="1">
        <f t="array" aca="1" ref="G18" ca="1">BSMCall($R$6,K18,$D$6,$D$3,$D$4,I18)</f>
        <v>141.11447937555971</v>
      </c>
      <c r="H18" s="26">
        <f ca="1"/>
        <v>135.25</v>
      </c>
      <c r="I18" s="67">
        <f ca="1"/>
        <v>0.51038087280273436</v>
      </c>
      <c r="J18" s="27"/>
      <c r="K18" s="35">
        <f ca="1"/>
        <v>115</v>
      </c>
      <c r="L18" s="28"/>
      <c r="M18" s="65">
        <f ca="1"/>
        <v>0.51093018371582044</v>
      </c>
      <c r="N18" s="73">
        <f ca="1"/>
        <v>2.4700000000000002</v>
      </c>
      <c r="O18" s="25" cm="1">
        <f t="array" aca="1" ref="O18" ca="1">BSMPut($R$6,K18,$D$6,$D$3,$D$4,M18)</f>
        <v>3.3572048441730828</v>
      </c>
      <c r="P18" s="24" cm="1">
        <f t="array" aca="1" ref="P18" ca="1">DeltaP($R$6,K18,$D$6,$D$3,$D$4,M18)</f>
        <v>-4.5183597757036308E-2</v>
      </c>
      <c r="Q18" s="24" cm="1">
        <f t="array" aca="1" ref="Q18" ca="1">GammaCP($R$6,K18,$D$6,$D$3,$D$4,M18)</f>
        <v>6.6148519709164255E-4</v>
      </c>
      <c r="R18" s="24" cm="1">
        <f t="array" aca="1" ref="R18" ca="1">ThetaP($R$6,K18,$D$6,$D$3,$D$4,M18)</f>
        <v>-5.5195399543916599</v>
      </c>
      <c r="S18" s="24" cm="1">
        <f t="array" aca="1" ref="S18" ca="1">Vega($R$6,K18,$D$6,$D$3,$D$4,M18)</f>
        <v>26.649783443967564</v>
      </c>
      <c r="T18" s="24" cm="1">
        <f t="array" aca="1" ref="T18" ca="1">RhoP($R$6,K18,$D$6,$D$3,$D$4,M18)</f>
        <v>-18.130012891377607</v>
      </c>
      <c r="U18" s="68"/>
      <c r="V18" s="71">
        <f t="shared" ca="1" si="1"/>
        <v>139</v>
      </c>
      <c r="W18" s="8">
        <f ca="1"/>
        <v>7</v>
      </c>
      <c r="X18" s="15">
        <f ca="1"/>
        <v>44293.831134259257</v>
      </c>
      <c r="Y18" s="14">
        <f ca="1"/>
        <v>135.25</v>
      </c>
      <c r="Z18" s="14">
        <f ca="1"/>
        <v>139</v>
      </c>
      <c r="AA18" s="14">
        <f ca="1"/>
        <v>144</v>
      </c>
      <c r="AB18" s="14">
        <f ca="1"/>
        <v>1</v>
      </c>
      <c r="AC18" s="14">
        <f ca="1"/>
        <v>82</v>
      </c>
      <c r="AD18" s="14">
        <f ca="1"/>
        <v>0.51038087280273436</v>
      </c>
      <c r="AE18" s="6">
        <f ca="1"/>
        <v>115</v>
      </c>
      <c r="AF18" s="20">
        <f ca="1"/>
        <v>44196.672326388893</v>
      </c>
      <c r="AG18" s="18">
        <f ca="1"/>
        <v>2.4700000000000002</v>
      </c>
      <c r="AH18" s="18">
        <f ca="1"/>
        <v>2.38</v>
      </c>
      <c r="AI18" s="18">
        <f ca="1"/>
        <v>3.15</v>
      </c>
      <c r="AJ18" s="18">
        <f ca="1"/>
        <v>1</v>
      </c>
      <c r="AK18" s="18">
        <f ca="1"/>
        <v>430</v>
      </c>
      <c r="AL18" s="19">
        <f ca="1"/>
        <v>0.51093018371582044</v>
      </c>
      <c r="AM18" s="112">
        <f t="shared" ca="1" si="0"/>
        <v>139</v>
      </c>
      <c r="AN18" s="112">
        <f t="shared" ca="1" si="2"/>
        <v>139</v>
      </c>
    </row>
    <row r="19" spans="2:40" x14ac:dyDescent="0.2">
      <c r="B19" s="37" cm="1">
        <f t="array" aca="1" ref="B19" ca="1">RhoC($R$6,K19,$D$6,$D$3,$D$4,I19)</f>
        <v>126.09033774243072</v>
      </c>
      <c r="C19" s="37" cm="1">
        <f t="array" aca="1" ref="C19" ca="1">Vega($R$6,K19,$D$6,$D$3,$D$4,I19)</f>
        <v>27.680701244846055</v>
      </c>
      <c r="D19" s="37" cm="1">
        <f t="array" aca="1" ref="D19" ca="1">ThetaC($R$6,K19,$D$6,$D$3,$D$4,I19)/252</f>
        <v>-1.7894293993174645E-2</v>
      </c>
      <c r="E19" s="37" cm="1">
        <f t="array" aca="1" ref="E19" ca="1">GammaCP($R$6,K19,$D$6,$D$3,$D$4,I19)</f>
        <v>7.2119010888484756E-4</v>
      </c>
      <c r="F19" s="37" cm="1">
        <f t="array" aca="1" ref="F19" ca="1">DeltaC($R$6,K19,$D$6,$D$3,$D$4,I19)</f>
        <v>0.94229240499578171</v>
      </c>
      <c r="G19" s="38" cm="1">
        <f t="array" aca="1" ref="G19" ca="1">BSMCall($R$6,K19,$D$6,$D$3,$D$4,I19)</f>
        <v>136.1761154069556</v>
      </c>
      <c r="H19" s="39">
        <f ca="1"/>
        <v>129.69999999999999</v>
      </c>
      <c r="I19" s="66">
        <f ca="1"/>
        <v>0.48676050354003908</v>
      </c>
      <c r="J19" s="40"/>
      <c r="K19" s="41">
        <f ca="1"/>
        <v>120</v>
      </c>
      <c r="L19" s="42"/>
      <c r="M19" s="64">
        <f ca="1"/>
        <v>0.42407802490234381</v>
      </c>
      <c r="N19" s="72">
        <f ca="1"/>
        <v>2.0699999999999998</v>
      </c>
      <c r="O19" s="38" cm="1">
        <f t="array" aca="1" ref="O19" ca="1">BSMPut($R$6,K19,$D$6,$D$3,$D$4,M19)</f>
        <v>1.8290102379687312</v>
      </c>
      <c r="P19" s="37" cm="1">
        <f t="array" aca="1" ref="P19" ca="1">DeltaP($R$6,K19,$D$6,$D$3,$D$4,M19)</f>
        <v>-3.2711114807634369E-2</v>
      </c>
      <c r="Q19" s="37" cm="1">
        <f t="array" aca="1" ref="Q19" ca="1">GammaCP($R$6,K19,$D$6,$D$3,$D$4,M19)</f>
        <v>6.1263687365888022E-4</v>
      </c>
      <c r="R19" s="37" cm="1">
        <f t="array" aca="1" ref="R19" ca="1">ThetaP($R$6,K19,$D$6,$D$3,$D$4,M19)</f>
        <v>-3.5233671294337632</v>
      </c>
      <c r="S19" s="37" cm="1">
        <f t="array" aca="1" ref="S19" ca="1">Vega($R$6,K19,$D$6,$D$3,$D$4,M19)</f>
        <v>20.486175831691153</v>
      </c>
      <c r="T19" s="37" cm="1">
        <f t="array" aca="1" ref="T19" ca="1">RhoP($R$6,K19,$D$6,$D$3,$D$4,M19)</f>
        <v>-12.390280644640519</v>
      </c>
      <c r="U19" s="68"/>
      <c r="V19" s="71">
        <f t="shared" ca="1" si="1"/>
        <v>737</v>
      </c>
      <c r="W19" s="8">
        <f ca="1"/>
        <v>8</v>
      </c>
      <c r="X19" s="15">
        <f ca="1"/>
        <v>44291.825509259259</v>
      </c>
      <c r="Y19" s="14">
        <f ca="1"/>
        <v>129.69999999999999</v>
      </c>
      <c r="Z19" s="14">
        <f ca="1"/>
        <v>134</v>
      </c>
      <c r="AA19" s="14">
        <f ca="1"/>
        <v>139</v>
      </c>
      <c r="AB19" s="14">
        <f ca="1"/>
        <v>1</v>
      </c>
      <c r="AC19" s="14">
        <f ca="1"/>
        <v>39</v>
      </c>
      <c r="AD19" s="14">
        <f ca="1"/>
        <v>0.48676050354003908</v>
      </c>
      <c r="AE19" s="6">
        <f ca="1"/>
        <v>120</v>
      </c>
      <c r="AF19" s="20">
        <f ca="1"/>
        <v>44284.648541666669</v>
      </c>
      <c r="AG19" s="18">
        <f ca="1"/>
        <v>2.0699999999999998</v>
      </c>
      <c r="AH19" s="18">
        <f ca="1"/>
        <v>1.4</v>
      </c>
      <c r="AI19" s="18">
        <f ca="1"/>
        <v>1.69</v>
      </c>
      <c r="AJ19" s="18">
        <f ca="1"/>
        <v>10</v>
      </c>
      <c r="AK19" s="18">
        <f ca="1"/>
        <v>377</v>
      </c>
      <c r="AL19" s="19">
        <f ca="1"/>
        <v>0.42407802490234381</v>
      </c>
      <c r="AM19" s="112">
        <f t="shared" ca="1" si="0"/>
        <v>134</v>
      </c>
      <c r="AN19" s="112">
        <f t="shared" ca="1" si="2"/>
        <v>1340</v>
      </c>
    </row>
    <row r="20" spans="2:40" x14ac:dyDescent="0.2">
      <c r="B20" s="24" cm="1">
        <f t="array" aca="1" ref="B20" ca="1">RhoC($R$6,K20,$D$6,$D$3,$D$4,I20)</f>
        <v>131.37935793923688</v>
      </c>
      <c r="C20" s="24" cm="1">
        <f t="array" aca="1" ref="C20" ca="1">Vega($R$6,K20,$D$6,$D$3,$D$4,I20)</f>
        <v>28.798081152118041</v>
      </c>
      <c r="D20" s="24" cm="1">
        <f t="array" aca="1" ref="D20" ca="1">ThetaC($R$6,K20,$D$6,$D$3,$D$4,I20)/252</f>
        <v>-1.791097612720096E-2</v>
      </c>
      <c r="E20" s="24" cm="1">
        <f t="array" aca="1" ref="E20" ca="1">GammaCP($R$6,K20,$D$6,$D$3,$D$4,I20)</f>
        <v>7.8690874757150265E-4</v>
      </c>
      <c r="F20" s="24" cm="1">
        <f t="array" aca="1" ref="F20" ca="1">DeltaC($R$6,K20,$D$6,$D$3,$D$4,I20)</f>
        <v>0.93988638928195389</v>
      </c>
      <c r="G20" s="25" cm="1">
        <f t="array" aca="1" ref="G20" ca="1">BSMCall($R$6,K20,$D$6,$D$3,$D$4,I20)</f>
        <v>131.23755131201554</v>
      </c>
      <c r="H20" s="26">
        <f ca="1"/>
        <v>124.5</v>
      </c>
      <c r="I20" s="67">
        <f ca="1"/>
        <v>0.46411668701171882</v>
      </c>
      <c r="J20" s="27"/>
      <c r="K20" s="35">
        <f ca="1"/>
        <v>125</v>
      </c>
      <c r="L20" s="28"/>
      <c r="M20" s="65">
        <f ca="1"/>
        <v>0.45587702331542967</v>
      </c>
      <c r="N20" s="73">
        <f ca="1"/>
        <v>2.83</v>
      </c>
      <c r="O20" s="25" cm="1">
        <f t="array" aca="1" ref="O20" ca="1">BSMPut($R$6,K20,$D$6,$D$3,$D$4,M20)</f>
        <v>3.110823222704056</v>
      </c>
      <c r="P20" s="24" cm="1">
        <f t="array" aca="1" ref="P20" ca="1">DeltaP($R$6,K20,$D$6,$D$3,$D$4,M20)</f>
        <v>-4.7712786750473829E-2</v>
      </c>
      <c r="Q20" s="24" cm="1">
        <f t="array" aca="1" ref="Q20" ca="1">GammaCP($R$6,K20,$D$6,$D$3,$D$4,M20)</f>
        <v>7.7446949196384625E-4</v>
      </c>
      <c r="R20" s="24" cm="1">
        <f t="array" aca="1" ref="R20" ca="1">ThetaP($R$6,K20,$D$6,$D$3,$D$4,M20)</f>
        <v>-5.1427427981293228</v>
      </c>
      <c r="S20" s="24" cm="1">
        <f t="array" aca="1" ref="S20" ca="1">Vega($R$6,K20,$D$6,$D$3,$D$4,M20)</f>
        <v>27.839665517466603</v>
      </c>
      <c r="T20" s="24" cm="1">
        <f t="array" aca="1" ref="T20" ca="1">RhoP($R$6,K20,$D$6,$D$3,$D$4,M20)</f>
        <v>-18.614046213048457</v>
      </c>
      <c r="U20" s="68"/>
      <c r="V20" s="71">
        <f t="shared" ca="1" si="1"/>
        <v>129</v>
      </c>
      <c r="W20" s="8">
        <f ca="1"/>
        <v>9</v>
      </c>
      <c r="X20" s="15">
        <f ca="1"/>
        <v>44291.737361111111</v>
      </c>
      <c r="Y20" s="14">
        <f ca="1"/>
        <v>124.5</v>
      </c>
      <c r="Z20" s="14">
        <f ca="1"/>
        <v>129</v>
      </c>
      <c r="AA20" s="14">
        <f ca="1"/>
        <v>134</v>
      </c>
      <c r="AB20" s="14">
        <f ca="1"/>
        <v>1</v>
      </c>
      <c r="AC20" s="14">
        <f ca="1"/>
        <v>53</v>
      </c>
      <c r="AD20" s="14">
        <f ca="1"/>
        <v>0.46411668701171882</v>
      </c>
      <c r="AE20" s="6">
        <f ca="1"/>
        <v>125</v>
      </c>
      <c r="AF20" s="20">
        <f ca="1"/>
        <v>44218.631898148153</v>
      </c>
      <c r="AG20" s="18">
        <f ca="1"/>
        <v>2.83</v>
      </c>
      <c r="AH20" s="18">
        <f ca="1"/>
        <v>2.23</v>
      </c>
      <c r="AI20" s="18">
        <f ca="1"/>
        <v>2.91</v>
      </c>
      <c r="AJ20" s="18">
        <f ca="1"/>
        <v>1</v>
      </c>
      <c r="AK20" s="18">
        <f ca="1"/>
        <v>171</v>
      </c>
      <c r="AL20" s="19">
        <f ca="1"/>
        <v>0.45587702331542967</v>
      </c>
      <c r="AM20" s="112">
        <f t="shared" ca="1" si="0"/>
        <v>129</v>
      </c>
      <c r="AN20" s="112">
        <f t="shared" ca="1" si="2"/>
        <v>129</v>
      </c>
    </row>
    <row r="21" spans="2:40" x14ac:dyDescent="0.2">
      <c r="B21" s="37" cm="1">
        <f t="array" aca="1" ref="B21" ca="1">RhoC($R$6,K21,$D$6,$D$3,$D$4,I21)</f>
        <v>134.59400062785181</v>
      </c>
      <c r="C21" s="37" cm="1">
        <f t="array" aca="1" ref="C21" ca="1">Vega($R$6,K21,$D$6,$D$3,$D$4,I21)</f>
        <v>31.977990941550274</v>
      </c>
      <c r="D21" s="37" cm="1">
        <f t="array" aca="1" ref="D21" ca="1">ThetaC($R$6,K21,$D$6,$D$3,$D$4,I21)/252</f>
        <v>-2.0214895220425241E-2</v>
      </c>
      <c r="E21" s="37" cm="1">
        <f t="array" aca="1" ref="E21" ca="1">GammaCP($R$6,K21,$D$6,$D$3,$D$4,I21)</f>
        <v>8.8320789526479297E-4</v>
      </c>
      <c r="F21" s="37" cm="1">
        <f t="array" aca="1" ref="F21" ca="1">DeltaC($R$6,K21,$D$6,$D$3,$D$4,I21)</f>
        <v>0.93284771790261634</v>
      </c>
      <c r="G21" s="38" cm="1">
        <f t="array" aca="1" ref="G21" ca="1">BSMCall($R$6,K21,$D$6,$D$3,$D$4,I21)</f>
        <v>126.81953258022448</v>
      </c>
      <c r="H21" s="39">
        <f ca="1"/>
        <v>120.61</v>
      </c>
      <c r="I21" s="66">
        <f ca="1"/>
        <v>0.45917288879394541</v>
      </c>
      <c r="J21" s="40"/>
      <c r="K21" s="41">
        <f ca="1"/>
        <v>130</v>
      </c>
      <c r="L21" s="42"/>
      <c r="M21" s="64">
        <f ca="1"/>
        <v>0.40424179748535161</v>
      </c>
      <c r="N21" s="72">
        <f ca="1"/>
        <v>1.95</v>
      </c>
      <c r="O21" s="38" cm="1">
        <f t="array" aca="1" ref="O21" ca="1">BSMPut($R$6,K21,$D$6,$D$3,$D$4,M21)</f>
        <v>2.2960812270656561</v>
      </c>
      <c r="P21" s="37" cm="1">
        <f t="array" aca="1" ref="P21" ca="1">DeltaP($R$6,K21,$D$6,$D$3,$D$4,M21)</f>
        <v>-4.1710082187824939E-2</v>
      </c>
      <c r="Q21" s="37" cm="1">
        <f t="array" aca="1" ref="Q21" ca="1">GammaCP($R$6,K21,$D$6,$D$3,$D$4,M21)</f>
        <v>7.8382499865488971E-4</v>
      </c>
      <c r="R21" s="37" cm="1">
        <f t="array" aca="1" ref="R21" ca="1">ThetaP($R$6,K21,$D$6,$D$3,$D$4,M21)</f>
        <v>-4.0929446909922946</v>
      </c>
      <c r="S21" s="37" cm="1">
        <f t="array" aca="1" ref="S21" ca="1">Vega($R$6,K21,$D$6,$D$3,$D$4,M21)</f>
        <v>24.984595427025315</v>
      </c>
      <c r="T21" s="37" cm="1">
        <f t="array" aca="1" ref="T21" ca="1">RhoP($R$6,K21,$D$6,$D$3,$D$4,M21)</f>
        <v>-15.754781120898015</v>
      </c>
      <c r="U21" s="68"/>
      <c r="V21" s="71">
        <f t="shared" ca="1" si="1"/>
        <v>372</v>
      </c>
      <c r="W21" s="8">
        <f ca="1"/>
        <v>10</v>
      </c>
      <c r="X21" s="15">
        <f ca="1"/>
        <v>44291.773240740738</v>
      </c>
      <c r="Y21" s="14">
        <f ca="1"/>
        <v>120.61</v>
      </c>
      <c r="Z21" s="14">
        <f ca="1"/>
        <v>124.5</v>
      </c>
      <c r="AA21" s="14">
        <f ca="1"/>
        <v>129.5</v>
      </c>
      <c r="AB21" s="14">
        <f ca="1"/>
        <v>1</v>
      </c>
      <c r="AC21" s="14">
        <f ca="1"/>
        <v>180</v>
      </c>
      <c r="AD21" s="14">
        <f ca="1"/>
        <v>0.45917288879394541</v>
      </c>
      <c r="AE21" s="6">
        <f ca="1"/>
        <v>130</v>
      </c>
      <c r="AF21" s="20">
        <f ca="1"/>
        <v>44295.728831018518</v>
      </c>
      <c r="AG21" s="18">
        <f ca="1"/>
        <v>1.95</v>
      </c>
      <c r="AH21" s="18">
        <f ca="1"/>
        <v>1.77</v>
      </c>
      <c r="AI21" s="18">
        <f ca="1"/>
        <v>2.13</v>
      </c>
      <c r="AJ21" s="18">
        <f ca="1"/>
        <v>5</v>
      </c>
      <c r="AK21" s="18">
        <f ca="1"/>
        <v>1163</v>
      </c>
      <c r="AL21" s="19">
        <f ca="1"/>
        <v>0.40424179748535161</v>
      </c>
      <c r="AM21" s="112">
        <f t="shared" ca="1" si="0"/>
        <v>124</v>
      </c>
      <c r="AN21" s="112">
        <f t="shared" ca="1" si="2"/>
        <v>620</v>
      </c>
    </row>
    <row r="22" spans="2:40" x14ac:dyDescent="0.2">
      <c r="B22" s="24" cm="1">
        <f t="array" aca="1" ref="B22" ca="1">RhoC($R$6,K22,$D$6,$D$3,$D$4,I22)</f>
        <v>139.73545263827208</v>
      </c>
      <c r="C22" s="24" cm="1">
        <f t="array" aca="1" ref="C22" ca="1">Vega($R$6,K22,$D$6,$D$3,$D$4,I22)</f>
        <v>33.241982295377021</v>
      </c>
      <c r="D22" s="24" cm="1">
        <f t="array" aca="1" ref="D22" ca="1">ThetaC($R$6,K22,$D$6,$D$3,$D$4,I22)/252</f>
        <v>-2.0185997983753892E-2</v>
      </c>
      <c r="E22" s="24" cm="1">
        <f t="array" aca="1" ref="E22" ca="1">GammaCP($R$6,K22,$D$6,$D$3,$D$4,I22)</f>
        <v>9.6331899051153749E-4</v>
      </c>
      <c r="F22" s="24" cm="1">
        <f t="array" aca="1" ref="F22" ca="1">DeltaC($R$6,K22,$D$6,$D$3,$D$4,I22)</f>
        <v>0.92997041841125405</v>
      </c>
      <c r="G22" s="25" cm="1">
        <f t="array" aca="1" ref="G22" ca="1">BSMCall($R$6,K22,$D$6,$D$3,$D$4,I22)</f>
        <v>121.88200157368017</v>
      </c>
      <c r="H22" s="26">
        <f ca="1"/>
        <v>103</v>
      </c>
      <c r="I22" s="67">
        <f ca="1"/>
        <v>0.43762769409179691</v>
      </c>
      <c r="J22" s="27"/>
      <c r="K22" s="35">
        <f ca="1"/>
        <v>135</v>
      </c>
      <c r="L22" s="28"/>
      <c r="M22" s="65">
        <f ca="1"/>
        <v>0.40283800292968752</v>
      </c>
      <c r="N22" s="73">
        <f ca="1"/>
        <v>2.06</v>
      </c>
      <c r="O22" s="25" cm="1">
        <f t="array" aca="1" ref="O22" ca="1">BSMPut($R$6,K22,$D$6,$D$3,$D$4,M22)</f>
        <v>2.7898523969701898</v>
      </c>
      <c r="P22" s="24" cm="1">
        <f t="array" aca="1" ref="P22" ca="1">DeltaP($R$6,K22,$D$6,$D$3,$D$4,M22)</f>
        <v>-4.9363272343604242E-2</v>
      </c>
      <c r="Q22" s="24" cm="1">
        <f t="array" aca="1" ref="Q22" ca="1">GammaCP($R$6,K22,$D$6,$D$3,$D$4,M22)</f>
        <v>9.0057472789692656E-4</v>
      </c>
      <c r="R22" s="24" cm="1">
        <f t="array" aca="1" ref="R22" ca="1">ThetaP($R$6,K22,$D$6,$D$3,$D$4,M22)</f>
        <v>-4.6676032503082876</v>
      </c>
      <c r="S22" s="24" cm="1">
        <f t="array" aca="1" ref="S22" ca="1">Vega($R$6,K22,$D$6,$D$3,$D$4,M22)</f>
        <v>28.606332643045729</v>
      </c>
      <c r="T22" s="24" cm="1">
        <f t="array" aca="1" ref="T22" ca="1">RhoP($R$6,K22,$D$6,$D$3,$D$4,M22)</f>
        <v>-18.734131067766448</v>
      </c>
      <c r="U22" s="68"/>
      <c r="V22" s="71">
        <f t="shared" ca="1" si="1"/>
        <v>892.5</v>
      </c>
      <c r="W22" s="8">
        <f ca="1"/>
        <v>11</v>
      </c>
      <c r="X22" s="15">
        <f ca="1"/>
        <v>44279.589131944442</v>
      </c>
      <c r="Y22" s="14">
        <f ca="1"/>
        <v>103</v>
      </c>
      <c r="Z22" s="14">
        <f ca="1"/>
        <v>119.5</v>
      </c>
      <c r="AA22" s="14">
        <f ca="1"/>
        <v>124.5</v>
      </c>
      <c r="AB22" s="14">
        <f ca="1"/>
        <v>5</v>
      </c>
      <c r="AC22" s="14">
        <f ca="1"/>
        <v>118</v>
      </c>
      <c r="AD22" s="14">
        <f ca="1"/>
        <v>0.43762769409179691</v>
      </c>
      <c r="AE22" s="6">
        <f ca="1"/>
        <v>135</v>
      </c>
      <c r="AF22" s="20">
        <f ca="1"/>
        <v>44293.738865740743</v>
      </c>
      <c r="AG22" s="18">
        <f ca="1"/>
        <v>2.06</v>
      </c>
      <c r="AH22" s="18">
        <f ca="1"/>
        <v>1.88</v>
      </c>
      <c r="AI22" s="18">
        <f ca="1"/>
        <v>2.6</v>
      </c>
      <c r="AJ22" s="18">
        <f ca="1"/>
        <v>10</v>
      </c>
      <c r="AK22" s="18">
        <f ca="1"/>
        <v>316</v>
      </c>
      <c r="AL22" s="19">
        <f ca="1"/>
        <v>0.40283800292968752</v>
      </c>
      <c r="AM22" s="112">
        <f t="shared" ca="1" si="0"/>
        <v>595</v>
      </c>
      <c r="AN22" s="112">
        <f t="shared" ca="1" si="2"/>
        <v>1190</v>
      </c>
    </row>
    <row r="23" spans="2:40" x14ac:dyDescent="0.2">
      <c r="B23" s="37" cm="1">
        <f t="array" aca="1" ref="B23" ca="1">RhoC($R$6,K23,$D$6,$D$3,$D$4,I23)</f>
        <v>142.788682107065</v>
      </c>
      <c r="C23" s="37" cm="1">
        <f t="array" aca="1" ref="C23" ca="1">Vega($R$6,K23,$D$6,$D$3,$D$4,I23)</f>
        <v>36.471417240418049</v>
      </c>
      <c r="D23" s="37" cm="1">
        <f t="array" aca="1" ref="D23" ca="1">ThetaC($R$6,K23,$D$6,$D$3,$D$4,I23)/252</f>
        <v>-2.2279250274180401E-2</v>
      </c>
      <c r="E23" s="37" cm="1">
        <f t="array" aca="1" ref="E23" ca="1">GammaCP($R$6,K23,$D$6,$D$3,$D$4,I23)</f>
        <v>1.0720051706491951E-3</v>
      </c>
      <c r="F23" s="37" cm="1">
        <f t="array" aca="1" ref="F23" ca="1">DeltaC($R$6,K23,$D$6,$D$3,$D$4,I23)</f>
        <v>0.92241007066003622</v>
      </c>
      <c r="G23" s="38" cm="1">
        <f t="array" aca="1" ref="G23" ca="1">BSMCall($R$6,K23,$D$6,$D$3,$D$4,I23)</f>
        <v>117.4635441123912</v>
      </c>
      <c r="H23" s="39">
        <f ca="1"/>
        <v>98.5</v>
      </c>
      <c r="I23" s="66">
        <f ca="1"/>
        <v>0.43146320495605472</v>
      </c>
      <c r="J23" s="40"/>
      <c r="K23" s="41">
        <f ca="1"/>
        <v>140</v>
      </c>
      <c r="L23" s="42"/>
      <c r="M23" s="64">
        <f ca="1"/>
        <v>0.39404902832031252</v>
      </c>
      <c r="N23" s="72">
        <f ca="1"/>
        <v>2.34</v>
      </c>
      <c r="O23" s="38" cm="1">
        <f t="array" aca="1" ref="O23" ca="1">BSMPut($R$6,K23,$D$6,$D$3,$D$4,M23)</f>
        <v>3.117120555602753</v>
      </c>
      <c r="P23" s="37" cm="1">
        <f t="array" aca="1" ref="P23" ca="1">DeltaP($R$6,K23,$D$6,$D$3,$D$4,M23)</f>
        <v>-5.5402334643264058E-2</v>
      </c>
      <c r="Q23" s="37" cm="1">
        <f t="array" aca="1" ref="Q23" ca="1">GammaCP($R$6,K23,$D$6,$D$3,$D$4,M23)</f>
        <v>1.0089296020264118E-3</v>
      </c>
      <c r="R23" s="37" cm="1">
        <f t="array" aca="1" ref="R23" ca="1">ThetaP($R$6,K23,$D$6,$D$3,$D$4,M23)</f>
        <v>-5.0012967665105172</v>
      </c>
      <c r="S23" s="37" cm="1">
        <f t="array" aca="1" ref="S23" ca="1">Vega($R$6,K23,$D$6,$D$3,$D$4,M23)</f>
        <v>31.348958719500107</v>
      </c>
      <c r="T23" s="37" cm="1">
        <f t="array" aca="1" ref="T23" ca="1">RhoP($R$6,K23,$D$6,$D$3,$D$4,M23)</f>
        <v>-21.008889417308659</v>
      </c>
      <c r="U23" s="68"/>
      <c r="V23" s="71">
        <f t="shared" ca="1" si="1"/>
        <v>912</v>
      </c>
      <c r="W23" s="8">
        <f ca="1"/>
        <v>12</v>
      </c>
      <c r="X23" s="15">
        <f ca="1"/>
        <v>44279.61010416667</v>
      </c>
      <c r="Y23" s="14">
        <f ca="1"/>
        <v>98.5</v>
      </c>
      <c r="Z23" s="14">
        <f ca="1"/>
        <v>115</v>
      </c>
      <c r="AA23" s="14">
        <f ca="1"/>
        <v>120</v>
      </c>
      <c r="AB23" s="14">
        <f ca="1"/>
        <v>6</v>
      </c>
      <c r="AC23" s="14">
        <f ca="1"/>
        <v>288</v>
      </c>
      <c r="AD23" s="14">
        <f ca="1"/>
        <v>0.43146320495605472</v>
      </c>
      <c r="AE23" s="6">
        <f ca="1"/>
        <v>140</v>
      </c>
      <c r="AF23" s="20">
        <f ca="1"/>
        <v>44293.738865740743</v>
      </c>
      <c r="AG23" s="18">
        <f ca="1"/>
        <v>2.34</v>
      </c>
      <c r="AH23" s="18">
        <f ca="1"/>
        <v>2.1</v>
      </c>
      <c r="AI23" s="18">
        <f ca="1"/>
        <v>2.91</v>
      </c>
      <c r="AJ23" s="18">
        <f ca="1"/>
        <v>10</v>
      </c>
      <c r="AK23" s="18">
        <f ca="1"/>
        <v>334</v>
      </c>
      <c r="AL23" s="19">
        <f ca="1"/>
        <v>0.39404902832031252</v>
      </c>
      <c r="AM23" s="112">
        <f t="shared" ca="1" si="0"/>
        <v>684</v>
      </c>
      <c r="AN23" s="112">
        <f t="shared" ca="1" si="2"/>
        <v>1140</v>
      </c>
    </row>
    <row r="24" spans="2:40" x14ac:dyDescent="0.2">
      <c r="B24" s="24" cm="1">
        <f t="array" aca="1" ref="B24" ca="1">RhoC($R$6,K24,$D$6,$D$3,$D$4,I24)</f>
        <v>147.76467063984799</v>
      </c>
      <c r="C24" s="24" cm="1">
        <f t="array" aca="1" ref="C24" ca="1">Vega($R$6,K24,$D$6,$D$3,$D$4,I24)</f>
        <v>37.887195821365921</v>
      </c>
      <c r="D24" s="24" cm="1">
        <f t="array" aca="1" ref="D24" ca="1">ThetaC($R$6,K24,$D$6,$D$3,$D$4,I24)/252</f>
        <v>-2.2192846230935384E-2</v>
      </c>
      <c r="E24" s="24" cm="1">
        <f t="array" aca="1" ref="E24" ca="1">GammaCP($R$6,K24,$D$6,$D$3,$D$4,I24)</f>
        <v>1.1695386767699386E-3</v>
      </c>
      <c r="F24" s="24" cm="1">
        <f t="array" aca="1" ref="F24" ca="1">DeltaC($R$6,K24,$D$6,$D$3,$D$4,I24)</f>
        <v>0.91899930803751673</v>
      </c>
      <c r="G24" s="25" cm="1">
        <f t="array" aca="1" ref="G24" ca="1">BSMCall($R$6,K24,$D$6,$D$3,$D$4,I24)</f>
        <v>112.52589442963605</v>
      </c>
      <c r="H24" s="26">
        <f ca="1"/>
        <v>112</v>
      </c>
      <c r="I24" s="67">
        <f ca="1"/>
        <v>0.41083352844238291</v>
      </c>
      <c r="J24" s="27"/>
      <c r="K24" s="35">
        <f ca="1"/>
        <v>145</v>
      </c>
      <c r="L24" s="28"/>
      <c r="M24" s="65">
        <f ca="1"/>
        <v>0.37451797363281247</v>
      </c>
      <c r="N24" s="73">
        <f ca="1"/>
        <v>4</v>
      </c>
      <c r="O24" s="25" cm="1">
        <f t="array" aca="1" ref="O24" ca="1">BSMPut($R$6,K24,$D$6,$D$3,$D$4,M24)</f>
        <v>3.1082032549733754</v>
      </c>
      <c r="P24" s="24" cm="1">
        <f t="array" aca="1" ref="P24" ca="1">DeltaP($R$6,K24,$D$6,$D$3,$D$4,M24)</f>
        <v>-5.8135413007612338E-2</v>
      </c>
      <c r="Q24" s="24" cm="1">
        <f t="array" aca="1" ref="Q24" ca="1">GammaCP($R$6,K24,$D$6,$D$3,$D$4,M24)</f>
        <v>1.1025373867604219E-3</v>
      </c>
      <c r="R24" s="24" cm="1">
        <f t="array" aca="1" ref="R24" ca="1">ThetaP($R$6,K24,$D$6,$D$3,$D$4,M24)</f>
        <v>-4.9353386275688669</v>
      </c>
      <c r="S24" s="24" cm="1">
        <f t="array" aca="1" ref="S24" ca="1">Vega($R$6,K24,$D$6,$D$3,$D$4,M24)</f>
        <v>32.559519321397872</v>
      </c>
      <c r="T24" s="24" cm="1">
        <f t="array" aca="1" ref="T24" ca="1">RhoP($R$6,K24,$D$6,$D$3,$D$4,M24)</f>
        <v>-21.846448661136339</v>
      </c>
      <c r="U24" s="68"/>
      <c r="V24" s="71">
        <f t="shared" ca="1" si="1"/>
        <v>3433.5</v>
      </c>
      <c r="W24" s="8">
        <f ca="1"/>
        <v>13</v>
      </c>
      <c r="X24" s="15">
        <f ca="1"/>
        <v>44295.81523148148</v>
      </c>
      <c r="Y24" s="14">
        <f ca="1"/>
        <v>112</v>
      </c>
      <c r="Z24" s="14">
        <f ca="1"/>
        <v>110.9</v>
      </c>
      <c r="AA24" s="14">
        <f ca="1"/>
        <v>115</v>
      </c>
      <c r="AB24" s="14">
        <f ca="1"/>
        <v>60</v>
      </c>
      <c r="AC24" s="14">
        <f ca="1"/>
        <v>154</v>
      </c>
      <c r="AD24" s="14">
        <f ca="1"/>
        <v>0.41083352844238291</v>
      </c>
      <c r="AE24" s="6">
        <f ca="1"/>
        <v>145</v>
      </c>
      <c r="AF24" s="20">
        <f ca="1"/>
        <v>44277.685532407413</v>
      </c>
      <c r="AG24" s="18">
        <f ca="1"/>
        <v>4</v>
      </c>
      <c r="AH24" s="18">
        <f ca="1"/>
        <v>2.31</v>
      </c>
      <c r="AI24" s="18">
        <f ca="1"/>
        <v>2.9</v>
      </c>
      <c r="AJ24" s="18">
        <f ca="1"/>
        <v>3</v>
      </c>
      <c r="AK24" s="18">
        <f ca="1"/>
        <v>398</v>
      </c>
      <c r="AL24" s="19">
        <f ca="1"/>
        <v>0.37451797363281247</v>
      </c>
      <c r="AM24" s="112">
        <f t="shared" ca="1" si="0"/>
        <v>6540</v>
      </c>
      <c r="AN24" s="112">
        <f t="shared" ca="1" si="2"/>
        <v>327</v>
      </c>
    </row>
    <row r="25" spans="2:40" x14ac:dyDescent="0.2">
      <c r="B25" s="37" cm="1">
        <f t="array" aca="1" ref="B25" ca="1">RhoC($R$6,K25,$D$6,$D$3,$D$4,I25)</f>
        <v>150.63374749474153</v>
      </c>
      <c r="C25" s="37" cm="1">
        <f t="array" aca="1" ref="C25" ca="1">Vega($R$6,K25,$D$6,$D$3,$D$4,I25)</f>
        <v>41.179125219419134</v>
      </c>
      <c r="D25" s="37" cm="1">
        <f t="array" aca="1" ref="D25" ca="1">ThetaC($R$6,K25,$D$6,$D$3,$D$4,I25)/252</f>
        <v>-2.4074101761579012E-2</v>
      </c>
      <c r="E25" s="37" cm="1">
        <f t="array" aca="1" ref="E25" ca="1">GammaCP($R$6,K25,$D$6,$D$3,$D$4,I25)</f>
        <v>1.2936430374221621E-3</v>
      </c>
      <c r="F25" s="37" cm="1">
        <f t="array" aca="1" ref="F25" ca="1">DeltaC($R$6,K25,$D$6,$D$3,$D$4,I25)</f>
        <v>0.91083561697153093</v>
      </c>
      <c r="G25" s="38" cm="1">
        <f t="array" aca="1" ref="G25" ca="1">BSMCall($R$6,K25,$D$6,$D$3,$D$4,I25)</f>
        <v>108.10486003466353</v>
      </c>
      <c r="H25" s="39">
        <f ca="1"/>
        <v>106.8</v>
      </c>
      <c r="I25" s="66">
        <f ca="1"/>
        <v>0.40369248657226559</v>
      </c>
      <c r="J25" s="40"/>
      <c r="K25" s="41">
        <f ca="1"/>
        <v>150</v>
      </c>
      <c r="L25" s="42"/>
      <c r="M25" s="64">
        <f ca="1"/>
        <v>0.36499658447265632</v>
      </c>
      <c r="N25" s="72">
        <f ca="1"/>
        <v>2.93</v>
      </c>
      <c r="O25" s="38" cm="1">
        <f t="array" aca="1" ref="O25" ca="1">BSMPut($R$6,K25,$D$6,$D$3,$D$4,M25)</f>
        <v>3.4236527289487526</v>
      </c>
      <c r="P25" s="37" cm="1">
        <f t="array" aca="1" ref="P25" ca="1">DeltaP($R$6,K25,$D$6,$D$3,$D$4,M25)</f>
        <v>-6.4645968076781468E-2</v>
      </c>
      <c r="Q25" s="37" cm="1">
        <f t="array" aca="1" ref="Q25" ca="1">GammaCP($R$6,K25,$D$6,$D$3,$D$4,M25)</f>
        <v>1.2290029740885655E-3</v>
      </c>
      <c r="R25" s="37" cm="1">
        <f t="array" aca="1" ref="R25" ca="1">ThetaP($R$6,K25,$D$6,$D$3,$D$4,M25)</f>
        <v>-5.2227633414374619</v>
      </c>
      <c r="S25" s="37" cm="1">
        <f t="array" aca="1" ref="S25" ca="1">Vega($R$6,K25,$D$6,$D$3,$D$4,M25)</f>
        <v>35.371520491549454</v>
      </c>
      <c r="T25" s="37" cm="1">
        <f t="array" aca="1" ref="T25" ca="1">RhoP($R$6,K25,$D$6,$D$3,$D$4,M25)</f>
        <v>-24.253132557063378</v>
      </c>
      <c r="U25" s="68"/>
      <c r="V25" s="71">
        <f t="shared" ca="1" si="1"/>
        <v>65104</v>
      </c>
      <c r="W25" s="8">
        <f ca="1"/>
        <v>14</v>
      </c>
      <c r="X25" s="15">
        <f ca="1"/>
        <v>44295.689247685194</v>
      </c>
      <c r="Y25" s="14">
        <f ca="1"/>
        <v>106.8</v>
      </c>
      <c r="Z25" s="14">
        <f ca="1"/>
        <v>105.5</v>
      </c>
      <c r="AA25" s="14">
        <f ca="1"/>
        <v>110.5</v>
      </c>
      <c r="AB25" s="14">
        <f ca="1"/>
        <v>1</v>
      </c>
      <c r="AC25" s="14">
        <f ca="1"/>
        <v>443</v>
      </c>
      <c r="AD25" s="14">
        <f ca="1"/>
        <v>0.40369248657226559</v>
      </c>
      <c r="AE25" s="6">
        <f ca="1"/>
        <v>150</v>
      </c>
      <c r="AF25" s="20">
        <f ca="1"/>
        <v>44294.764791666668</v>
      </c>
      <c r="AG25" s="18">
        <f ca="1"/>
        <v>2.93</v>
      </c>
      <c r="AH25" s="18">
        <f ca="1"/>
        <v>2.62</v>
      </c>
      <c r="AI25" s="18">
        <f ca="1"/>
        <v>3.2</v>
      </c>
      <c r="AJ25" s="18">
        <f ca="1"/>
        <v>1251</v>
      </c>
      <c r="AK25" s="18">
        <f ca="1"/>
        <v>3638</v>
      </c>
      <c r="AL25" s="19">
        <f ca="1"/>
        <v>0.36499658447265632</v>
      </c>
      <c r="AM25" s="112">
        <f t="shared" ca="1" si="0"/>
        <v>104</v>
      </c>
      <c r="AN25" s="112">
        <f t="shared" ca="1" si="2"/>
        <v>130104</v>
      </c>
    </row>
    <row r="26" spans="2:40" x14ac:dyDescent="0.2">
      <c r="B26" s="24" cm="1">
        <f t="array" aca="1" ref="B26" ca="1">RhoC($R$6,K26,$D$6,$D$3,$D$4,I26)</f>
        <v>160.7099200444103</v>
      </c>
      <c r="C26" s="24" cm="1">
        <f t="array" aca="1" ref="C26" ca="1">Vega($R$6,K26,$D$6,$D$3,$D$4,I26)</f>
        <v>37.902193931038177</v>
      </c>
      <c r="D26" s="24" cm="1">
        <f t="array" aca="1" ref="D26" ca="1">ThetaC($R$6,K26,$D$6,$D$3,$D$4,I26)/252</f>
        <v>-1.9070787074524444E-2</v>
      </c>
      <c r="E26" s="24" cm="1">
        <f t="array" aca="1" ref="E26" ca="1">GammaCP($R$6,K26,$D$6,$D$3,$D$4,I26)</f>
        <v>1.3613223474047129E-3</v>
      </c>
      <c r="F26" s="24" cm="1">
        <f t="array" aca="1" ref="F26" ca="1">DeltaC($R$6,K26,$D$6,$D$3,$D$4,I26)</f>
        <v>0.91896285703291503</v>
      </c>
      <c r="G26" s="25" cm="1">
        <f t="array" aca="1" ref="G26" ca="1">BSMCall($R$6,K26,$D$6,$D$3,$D$4,I26)</f>
        <v>101.92493125636091</v>
      </c>
      <c r="H26" s="26">
        <f ca="1"/>
        <v>102</v>
      </c>
      <c r="I26" s="67">
        <f ca="1"/>
        <v>0.35309484802246088</v>
      </c>
      <c r="J26" s="27"/>
      <c r="K26" s="35">
        <f ca="1"/>
        <v>155</v>
      </c>
      <c r="L26" s="28"/>
      <c r="M26" s="65">
        <f ca="1"/>
        <v>0.35632967895507811</v>
      </c>
      <c r="N26" s="73">
        <f ca="1"/>
        <v>3.36</v>
      </c>
      <c r="O26" s="25" cm="1">
        <f t="array" aca="1" ref="O26" ca="1">BSMPut($R$6,K26,$D$6,$D$3,$D$4,M26)</f>
        <v>3.790613001710966</v>
      </c>
      <c r="P26" s="24" cm="1">
        <f t="array" aca="1" ref="P26" ca="1">DeltaP($R$6,K26,$D$6,$D$3,$D$4,M26)</f>
        <v>-7.2026364621263855E-2</v>
      </c>
      <c r="Q26" s="24" cm="1">
        <f t="array" aca="1" ref="Q26" ca="1">GammaCP($R$6,K26,$D$6,$D$3,$D$4,M26)</f>
        <v>1.3682893246740994E-3</v>
      </c>
      <c r="R26" s="24" cm="1">
        <f t="array" aca="1" ref="R26" ca="1">ThetaP($R$6,K26,$D$6,$D$3,$D$4,M26)</f>
        <v>-5.538925940992141</v>
      </c>
      <c r="S26" s="24" cm="1">
        <f t="array" aca="1" ref="S26" ca="1">Vega($R$6,K26,$D$6,$D$3,$D$4,M26)</f>
        <v>38.445182761246045</v>
      </c>
      <c r="T26" s="24" cm="1">
        <f t="array" aca="1" ref="T26" ca="1">RhoP($R$6,K26,$D$6,$D$3,$D$4,M26)</f>
        <v>-26.992807244741382</v>
      </c>
      <c r="U26" s="68"/>
      <c r="V26" s="71">
        <f t="shared" ca="1" si="1"/>
        <v>940.5</v>
      </c>
      <c r="W26" s="8">
        <f ca="1"/>
        <v>15</v>
      </c>
      <c r="X26" s="15">
        <f ca="1"/>
        <v>44274.830451388887</v>
      </c>
      <c r="Y26" s="14">
        <f ca="1"/>
        <v>102</v>
      </c>
      <c r="Z26" s="14">
        <f ca="1"/>
        <v>102.75</v>
      </c>
      <c r="AA26" s="14">
        <f ca="1"/>
        <v>104.3</v>
      </c>
      <c r="AB26" s="14">
        <f ca="1"/>
        <v>18</v>
      </c>
      <c r="AC26" s="14">
        <f ca="1"/>
        <v>318</v>
      </c>
      <c r="AD26" s="14">
        <f ca="1"/>
        <v>0.35309484802246088</v>
      </c>
      <c r="AE26" s="6">
        <f ca="1"/>
        <v>155</v>
      </c>
      <c r="AF26" s="20">
        <f ca="1"/>
        <v>44294.5784375</v>
      </c>
      <c r="AG26" s="18">
        <f ca="1"/>
        <v>3.36</v>
      </c>
      <c r="AH26" s="18">
        <f ca="1"/>
        <v>3.2</v>
      </c>
      <c r="AI26" s="18">
        <f ca="1"/>
        <v>3.55</v>
      </c>
      <c r="AJ26" s="18">
        <f ca="1"/>
        <v>1</v>
      </c>
      <c r="AK26" s="18">
        <f ca="1"/>
        <v>1058</v>
      </c>
      <c r="AL26" s="19">
        <f ca="1"/>
        <v>0.35632967895507811</v>
      </c>
      <c r="AM26" s="112">
        <f t="shared" ca="1" si="0"/>
        <v>1782</v>
      </c>
      <c r="AN26" s="112">
        <f t="shared" ca="1" si="2"/>
        <v>99</v>
      </c>
    </row>
    <row r="27" spans="2:40" x14ac:dyDescent="0.2">
      <c r="B27" s="37" cm="1">
        <f t="array" aca="1" ref="B27" ca="1">RhoC($R$6,K27,$D$6,$D$3,$D$4,I27)</f>
        <v>158.04274746664876</v>
      </c>
      <c r="C27" s="37" cm="1">
        <f t="array" aca="1" ref="C27" ca="1">Vega($R$6,K27,$D$6,$D$3,$D$4,I27)</f>
        <v>46.150161093990675</v>
      </c>
      <c r="D27" s="37" cm="1">
        <f t="array" aca="1" ref="D27" ca="1">ThetaC($R$6,K27,$D$6,$D$3,$D$4,I27)/252</f>
        <v>-2.5612124145977109E-2</v>
      </c>
      <c r="E27" s="37" cm="1">
        <f t="array" aca="1" ref="E27" ca="1">GammaCP($R$6,K27,$D$6,$D$3,$D$4,I27)</f>
        <v>1.5564054790718079E-3</v>
      </c>
      <c r="F27" s="37" cm="1">
        <f t="array" aca="1" ref="F27" ca="1">DeltaC($R$6,K27,$D$6,$D$3,$D$4,I27)</f>
        <v>0.8978655569498839</v>
      </c>
      <c r="G27" s="38" cm="1">
        <f t="array" aca="1" ref="G27" ca="1">BSMCall($R$6,K27,$D$6,$D$3,$D$4,I27)</f>
        <v>98.74847735535468</v>
      </c>
      <c r="H27" s="39">
        <f ca="1"/>
        <v>95.88</v>
      </c>
      <c r="I27" s="66">
        <f ca="1"/>
        <v>0.37604383728027352</v>
      </c>
      <c r="J27" s="40"/>
      <c r="K27" s="41">
        <f ca="1"/>
        <v>160</v>
      </c>
      <c r="L27" s="42"/>
      <c r="M27" s="64">
        <f ca="1"/>
        <v>0.3494938098144531</v>
      </c>
      <c r="N27" s="72">
        <f ca="1"/>
        <v>3.7</v>
      </c>
      <c r="O27" s="38" cm="1">
        <f t="array" aca="1" ref="O27" ca="1">BSMPut($R$6,K27,$D$6,$D$3,$D$4,M27)</f>
        <v>4.2590856710353648</v>
      </c>
      <c r="P27" s="37" cm="1">
        <f t="array" aca="1" ref="P27" ca="1">DeltaP($R$6,K27,$D$6,$D$3,$D$4,M27)</f>
        <v>-8.0804277440700026E-2</v>
      </c>
      <c r="Q27" s="37" cm="1">
        <f t="array" aca="1" ref="Q27" ca="1">GammaCP($R$6,K27,$D$6,$D$3,$D$4,M27)</f>
        <v>1.5224449066458259E-3</v>
      </c>
      <c r="R27" s="37" cm="1">
        <f t="array" aca="1" ref="R27" ca="1">ThetaP($R$6,K27,$D$6,$D$3,$D$4,M27)</f>
        <v>-5.9253345383644636</v>
      </c>
      <c r="S27" s="37" cm="1">
        <f t="array" aca="1" ref="S27" ca="1">Vega($R$6,K27,$D$6,$D$3,$D$4,M27)</f>
        <v>41.955902567109668</v>
      </c>
      <c r="T27" s="37" cm="1">
        <f t="array" aca="1" ref="T27" ca="1">RhoP($R$6,K27,$D$6,$D$3,$D$4,M27)</f>
        <v>-30.290396590415856</v>
      </c>
      <c r="U27" s="68"/>
      <c r="V27" s="71">
        <f t="shared" ca="1" si="1"/>
        <v>58797</v>
      </c>
      <c r="W27" s="8">
        <f ca="1"/>
        <v>16</v>
      </c>
      <c r="X27" s="15">
        <f ca="1"/>
        <v>44294.665266203701</v>
      </c>
      <c r="Y27" s="14">
        <f ca="1"/>
        <v>95.88</v>
      </c>
      <c r="Z27" s="14">
        <f ca="1"/>
        <v>96</v>
      </c>
      <c r="AA27" s="14">
        <f ca="1"/>
        <v>101</v>
      </c>
      <c r="AB27" s="14">
        <f ca="1"/>
        <v>1</v>
      </c>
      <c r="AC27" s="14">
        <f ca="1"/>
        <v>231</v>
      </c>
      <c r="AD27" s="14">
        <f ca="1"/>
        <v>0.37604383728027352</v>
      </c>
      <c r="AE27" s="6">
        <f ca="1"/>
        <v>160</v>
      </c>
      <c r="AF27" s="20">
        <f ca="1"/>
        <v>44294.764791666668</v>
      </c>
      <c r="AG27" s="18">
        <f ca="1"/>
        <v>3.7</v>
      </c>
      <c r="AH27" s="18">
        <f ca="1"/>
        <v>3.5</v>
      </c>
      <c r="AI27" s="18">
        <f ca="1"/>
        <v>4</v>
      </c>
      <c r="AJ27" s="18">
        <f ca="1"/>
        <v>1250</v>
      </c>
      <c r="AK27" s="18">
        <f ca="1"/>
        <v>2417</v>
      </c>
      <c r="AL27" s="19">
        <f ca="1"/>
        <v>0.3494938098144531</v>
      </c>
      <c r="AM27" s="112">
        <f t="shared" ca="1" si="0"/>
        <v>94</v>
      </c>
      <c r="AN27" s="112">
        <f t="shared" ca="1" si="2"/>
        <v>117500</v>
      </c>
    </row>
    <row r="28" spans="2:40" x14ac:dyDescent="0.2">
      <c r="B28" s="24" cm="1">
        <f t="array" aca="1" ref="B28" ca="1">RhoC($R$6,K28,$D$6,$D$3,$D$4,I28)</f>
        <v>160.56786844483744</v>
      </c>
      <c r="C28" s="24" cm="1">
        <f t="array" aca="1" ref="C28" ca="1">Vega($R$6,K28,$D$6,$D$3,$D$4,I28)</f>
        <v>49.52588887973026</v>
      </c>
      <c r="D28" s="24" cm="1">
        <f t="array" aca="1" ref="D28" ca="1">ThetaC($R$6,K28,$D$6,$D$3,$D$4,I28)/252</f>
        <v>-2.7144870692481178E-2</v>
      </c>
      <c r="E28" s="24" cm="1">
        <f t="array" aca="1" ref="E28" ca="1">GammaCP($R$6,K28,$D$6,$D$3,$D$4,I28)</f>
        <v>1.7092287416312275E-3</v>
      </c>
      <c r="F28" s="24" cm="1">
        <f t="array" aca="1" ref="F28" ca="1">DeltaC($R$6,K28,$D$6,$D$3,$D$4,I28)</f>
        <v>0.88859265328699943</v>
      </c>
      <c r="G28" s="25" cm="1">
        <f t="array" aca="1" ref="G28" ca="1">BSMCall($R$6,K28,$D$6,$D$3,$D$4,I28)</f>
        <v>94.327125043409353</v>
      </c>
      <c r="H28" s="26">
        <f ca="1"/>
        <v>80.430000000000007</v>
      </c>
      <c r="I28" s="67">
        <f ca="1"/>
        <v>0.36746848358154288</v>
      </c>
      <c r="J28" s="27"/>
      <c r="K28" s="35">
        <f ca="1"/>
        <v>165</v>
      </c>
      <c r="L28" s="28"/>
      <c r="M28" s="65">
        <f ca="1"/>
        <v>0.34183397430419921</v>
      </c>
      <c r="N28" s="73">
        <f ca="1"/>
        <v>5.0599999999999996</v>
      </c>
      <c r="O28" s="25" cm="1">
        <f t="array" aca="1" ref="O28" ca="1">BSMPut($R$6,K28,$D$6,$D$3,$D$4,M28)</f>
        <v>4.7291837568455151</v>
      </c>
      <c r="P28" s="24" cm="1">
        <f t="array" aca="1" ref="P28" ca="1">DeltaP($R$6,K28,$D$6,$D$3,$D$4,M28)</f>
        <v>-8.9946498585301599E-2</v>
      </c>
      <c r="Q28" s="24" cm="1">
        <f t="array" aca="1" ref="Q28" ca="1">GammaCP($R$6,K28,$D$6,$D$3,$D$4,M28)</f>
        <v>1.6864994846120861E-3</v>
      </c>
      <c r="R28" s="24" cm="1">
        <f t="array" aca="1" ref="R28" ca="1">ThetaP($R$6,K28,$D$6,$D$3,$D$4,M28)</f>
        <v>-6.2754661764692949</v>
      </c>
      <c r="S28" s="24" cm="1">
        <f t="array" aca="1" ref="S28" ca="1">Vega($R$6,K28,$D$6,$D$3,$D$4,M28)</f>
        <v>45.458325260164031</v>
      </c>
      <c r="T28" s="24" cm="1">
        <f t="array" aca="1" ref="T28" ca="1">RhoP($R$6,K28,$D$6,$D$3,$D$4,M28)</f>
        <v>-33.703068564110794</v>
      </c>
      <c r="U28" s="68"/>
      <c r="V28" s="71">
        <f t="shared" ca="1" si="1"/>
        <v>356</v>
      </c>
      <c r="W28" s="8">
        <f ca="1"/>
        <v>17</v>
      </c>
      <c r="X28" s="15">
        <f ca="1"/>
        <v>44287.684027777781</v>
      </c>
      <c r="Y28" s="14">
        <f ca="1"/>
        <v>80.430000000000007</v>
      </c>
      <c r="Z28" s="14">
        <f ca="1"/>
        <v>91.75</v>
      </c>
      <c r="AA28" s="14">
        <f ca="1"/>
        <v>96.5</v>
      </c>
      <c r="AB28" s="14">
        <f ca="1"/>
        <v>3</v>
      </c>
      <c r="AC28" s="14">
        <f ca="1"/>
        <v>204</v>
      </c>
      <c r="AD28" s="14">
        <f ca="1"/>
        <v>0.36746848358154288</v>
      </c>
      <c r="AE28" s="6">
        <f ca="1"/>
        <v>165</v>
      </c>
      <c r="AF28" s="20">
        <f ca="1"/>
        <v>44287.616527777784</v>
      </c>
      <c r="AG28" s="18">
        <f ca="1"/>
        <v>5.0599999999999996</v>
      </c>
      <c r="AH28" s="18">
        <f ca="1"/>
        <v>3.9</v>
      </c>
      <c r="AI28" s="18">
        <f ca="1"/>
        <v>4.45</v>
      </c>
      <c r="AJ28" s="18">
        <f ca="1"/>
        <v>5</v>
      </c>
      <c r="AK28" s="18">
        <f ca="1"/>
        <v>448</v>
      </c>
      <c r="AL28" s="19">
        <f ca="1"/>
        <v>0.34183397430419921</v>
      </c>
      <c r="AM28" s="112">
        <f t="shared" ca="1" si="0"/>
        <v>267</v>
      </c>
      <c r="AN28" s="112">
        <f t="shared" ca="1" si="2"/>
        <v>445</v>
      </c>
    </row>
    <row r="29" spans="2:40" x14ac:dyDescent="0.2">
      <c r="B29" s="37" cm="1">
        <f t="array" aca="1" ref="B29" ca="1">RhoC($R$6,K29,$D$6,$D$3,$D$4,I29)</f>
        <v>162.96593843848183</v>
      </c>
      <c r="C29" s="37" cm="1">
        <f t="array" aca="1" ref="C29" ca="1">Vega($R$6,K29,$D$6,$D$3,$D$4,I29)</f>
        <v>52.905325613364909</v>
      </c>
      <c r="D29" s="37" cm="1">
        <f t="array" aca="1" ref="D29" ca="1">ThetaC($R$6,K29,$D$6,$D$3,$D$4,I29)/252</f>
        <v>-2.8532771315861457E-2</v>
      </c>
      <c r="E29" s="37" cm="1">
        <f t="array" aca="1" ref="E29" ca="1">GammaCP($R$6,K29,$D$6,$D$3,$D$4,I29)</f>
        <v>1.8726708759735603E-3</v>
      </c>
      <c r="F29" s="37" cm="1">
        <f t="array" aca="1" ref="F29" ca="1">DeltaC($R$6,K29,$D$6,$D$3,$D$4,I29)</f>
        <v>0.8789080739168087</v>
      </c>
      <c r="G29" s="38" cm="1">
        <f t="array" aca="1" ref="G29" ca="1">BSMCall($R$6,K29,$D$6,$D$3,$D$4,I29)</f>
        <v>89.905159251178134</v>
      </c>
      <c r="H29" s="39">
        <f ca="1"/>
        <v>83.23</v>
      </c>
      <c r="I29" s="66">
        <f ca="1"/>
        <v>0.3582827844238281</v>
      </c>
      <c r="J29" s="40"/>
      <c r="K29" s="41">
        <f ca="1"/>
        <v>170</v>
      </c>
      <c r="L29" s="42"/>
      <c r="M29" s="64">
        <f ca="1"/>
        <v>0.33447931152343752</v>
      </c>
      <c r="N29" s="72">
        <f ca="1"/>
        <v>4.78</v>
      </c>
      <c r="O29" s="38" cm="1">
        <f t="array" aca="1" ref="O29" ca="1">BSMPut($R$6,K29,$D$6,$D$3,$D$4,M29)</f>
        <v>5.2496091805101912</v>
      </c>
      <c r="P29" s="37" cm="1">
        <f t="array" aca="1" ref="P29" ca="1">DeltaP($R$6,K29,$D$6,$D$3,$D$4,M29)</f>
        <v>-9.9981501540426149E-2</v>
      </c>
      <c r="Q29" s="37" cm="1">
        <f t="array" aca="1" ref="Q29" ca="1">GammaCP($R$6,K29,$D$6,$D$3,$D$4,M29)</f>
        <v>1.863026582572193E-3</v>
      </c>
      <c r="R29" s="37" cm="1">
        <f t="array" aca="1" ref="R29" ca="1">ThetaP($R$6,K29,$D$6,$D$3,$D$4,M29)</f>
        <v>-6.6329047829460706</v>
      </c>
      <c r="S29" s="37" cm="1">
        <f t="array" aca="1" ref="S29" ca="1">Vega($R$6,K29,$D$6,$D$3,$D$4,M29)</f>
        <v>49.136057451540708</v>
      </c>
      <c r="T29" s="37" cm="1">
        <f t="array" aca="1" ref="T29" ca="1">RhoP($R$6,K29,$D$6,$D$3,$D$4,M29)</f>
        <v>-37.454406503559298</v>
      </c>
      <c r="U29" s="68"/>
      <c r="V29" s="71">
        <f t="shared" ca="1" si="1"/>
        <v>462</v>
      </c>
      <c r="W29" s="8">
        <f ca="1"/>
        <v>18</v>
      </c>
      <c r="X29" s="15">
        <f ca="1"/>
        <v>44291.800856481481</v>
      </c>
      <c r="Y29" s="14">
        <f ca="1"/>
        <v>83.23</v>
      </c>
      <c r="Z29" s="14">
        <f ca="1"/>
        <v>87.5</v>
      </c>
      <c r="AA29" s="14">
        <f ca="1"/>
        <v>92</v>
      </c>
      <c r="AB29" s="14">
        <f ca="1"/>
        <v>7</v>
      </c>
      <c r="AC29" s="14">
        <f ca="1"/>
        <v>258</v>
      </c>
      <c r="AD29" s="14">
        <f ca="1"/>
        <v>0.3582827844238281</v>
      </c>
      <c r="AE29" s="6">
        <f ca="1"/>
        <v>170</v>
      </c>
      <c r="AF29" s="20">
        <f ca="1"/>
        <v>44293.67695601852</v>
      </c>
      <c r="AG29" s="18">
        <f ca="1"/>
        <v>4.78</v>
      </c>
      <c r="AH29" s="18">
        <f ca="1"/>
        <v>4.55</v>
      </c>
      <c r="AI29" s="18">
        <f ca="1"/>
        <v>4.95</v>
      </c>
      <c r="AJ29" s="18">
        <f ca="1"/>
        <v>4</v>
      </c>
      <c r="AK29" s="18">
        <f ca="1"/>
        <v>2082</v>
      </c>
      <c r="AL29" s="19">
        <f ca="1"/>
        <v>0.33447931152343752</v>
      </c>
      <c r="AM29" s="112">
        <f t="shared" ca="1" si="0"/>
        <v>588</v>
      </c>
      <c r="AN29" s="112">
        <f t="shared" ca="1" si="2"/>
        <v>336</v>
      </c>
    </row>
    <row r="30" spans="2:40" x14ac:dyDescent="0.2">
      <c r="B30" s="24" cm="1">
        <f t="array" aca="1" ref="B30" ca="1">RhoC($R$6,K30,$D$6,$D$3,$D$4,I30)</f>
        <v>170.25375742078276</v>
      </c>
      <c r="C30" s="24" cm="1">
        <f t="array" aca="1" ref="C30" ca="1">Vega($R$6,K30,$D$6,$D$3,$D$4,I30)</f>
        <v>52.562968694433273</v>
      </c>
      <c r="D30" s="24" cm="1">
        <f t="array" aca="1" ref="D30" ca="1">ThetaC($R$6,K30,$D$6,$D$3,$D$4,I30)/252</f>
        <v>-2.5718066257561793E-2</v>
      </c>
      <c r="E30" s="24" cm="1">
        <f t="array" aca="1" ref="E30" ca="1">GammaCP($R$6,K30,$D$6,$D$3,$D$4,I30)</f>
        <v>2.0513547043098145E-3</v>
      </c>
      <c r="F30" s="24" cm="1">
        <f t="array" aca="1" ref="F30" ca="1">DeltaC($R$6,K30,$D$6,$D$3,$D$4,I30)</f>
        <v>0.87990817292016044</v>
      </c>
      <c r="G30" s="25" cm="1">
        <f t="array" aca="1" ref="G30" ca="1">BSMCall($R$6,K30,$D$6,$D$3,$D$4,I30)</f>
        <v>84.196346328370112</v>
      </c>
      <c r="H30" s="26">
        <f ca="1"/>
        <v>84.3</v>
      </c>
      <c r="I30" s="67">
        <f ca="1"/>
        <v>0.32495792236328119</v>
      </c>
      <c r="J30" s="27"/>
      <c r="K30" s="35">
        <f ca="1"/>
        <v>175</v>
      </c>
      <c r="L30" s="28"/>
      <c r="M30" s="65">
        <f ca="1"/>
        <v>0.32828430511474599</v>
      </c>
      <c r="N30" s="73">
        <f ca="1"/>
        <v>5.61</v>
      </c>
      <c r="O30" s="25" cm="1">
        <f t="array" aca="1" ref="O30" ca="1">BSMPut($R$6,K30,$D$6,$D$3,$D$4,M30)</f>
        <v>5.8713679264373297</v>
      </c>
      <c r="P30" s="24" cm="1">
        <f t="array" aca="1" ref="P30" ca="1">DeltaP($R$6,K30,$D$6,$D$3,$D$4,M30)</f>
        <v>-0.11139793801619459</v>
      </c>
      <c r="Q30" s="24" cm="1">
        <f t="array" aca="1" ref="Q30" ca="1">GammaCP($R$6,K30,$D$6,$D$3,$D$4,M30)</f>
        <v>2.0522410990953697E-3</v>
      </c>
      <c r="R30" s="24" cm="1">
        <f t="array" aca="1" ref="R30" ca="1">ThetaP($R$6,K30,$D$6,$D$3,$D$4,M30)</f>
        <v>-7.0333850430174545</v>
      </c>
      <c r="S30" s="24" cm="1">
        <f t="array" aca="1" ref="S30" ca="1">Vega($R$6,K30,$D$6,$D$3,$D$4,M30)</f>
        <v>53.123966659993613</v>
      </c>
      <c r="T30" s="24" cm="1">
        <f t="array" aca="1" ref="T30" ca="1">RhoP($R$6,K30,$D$6,$D$3,$D$4,M30)</f>
        <v>-41.758447498062331</v>
      </c>
      <c r="U30" s="68"/>
      <c r="V30" s="71">
        <f t="shared" ca="1" si="1"/>
        <v>6004</v>
      </c>
      <c r="W30" s="8">
        <f ca="1"/>
        <v>19</v>
      </c>
      <c r="X30" s="15">
        <f ca="1"/>
        <v>44295.806157407409</v>
      </c>
      <c r="Y30" s="14">
        <f ca="1"/>
        <v>84.3</v>
      </c>
      <c r="Z30" s="14">
        <f ca="1"/>
        <v>84.75</v>
      </c>
      <c r="AA30" s="14">
        <f ca="1"/>
        <v>86.25</v>
      </c>
      <c r="AB30" s="14">
        <f ca="1"/>
        <v>150</v>
      </c>
      <c r="AC30" s="14">
        <f ca="1"/>
        <v>857</v>
      </c>
      <c r="AD30" s="14">
        <f ca="1"/>
        <v>0.32495792236328119</v>
      </c>
      <c r="AE30" s="6">
        <f ca="1"/>
        <v>175</v>
      </c>
      <c r="AF30" s="20">
        <f ca="1"/>
        <v>44293.690833333327</v>
      </c>
      <c r="AG30" s="18">
        <f ca="1"/>
        <v>5.61</v>
      </c>
      <c r="AH30" s="18">
        <f ca="1"/>
        <v>5.15</v>
      </c>
      <c r="AI30" s="18">
        <f ca="1"/>
        <v>5.55</v>
      </c>
      <c r="AJ30" s="18">
        <f ca="1"/>
        <v>2</v>
      </c>
      <c r="AK30" s="18">
        <f ca="1"/>
        <v>717</v>
      </c>
      <c r="AL30" s="19">
        <f ca="1"/>
        <v>0.32828430511474599</v>
      </c>
      <c r="AM30" s="112">
        <f t="shared" ca="1" si="0"/>
        <v>11850</v>
      </c>
      <c r="AN30" s="112">
        <f t="shared" ca="1" si="2"/>
        <v>158</v>
      </c>
    </row>
    <row r="31" spans="2:40" x14ac:dyDescent="0.2">
      <c r="B31" s="37" cm="1">
        <f t="array" aca="1" ref="B31" ca="1">RhoC($R$6,K31,$D$6,$D$3,$D$4,I31)</f>
        <v>171.41751259105294</v>
      </c>
      <c r="C31" s="37" cm="1">
        <f t="array" aca="1" ref="C31" ca="1">Vega($R$6,K31,$D$6,$D$3,$D$4,I31)</f>
        <v>56.849977834651469</v>
      </c>
      <c r="D31" s="37" cm="1">
        <f t="array" aca="1" ref="D31" ca="1">ThetaC($R$6,K31,$D$6,$D$3,$D$4,I31)/252</f>
        <v>-2.7659941235416877E-2</v>
      </c>
      <c r="E31" s="37" cm="1">
        <f t="array" aca="1" ref="E31" ca="1">GammaCP($R$6,K31,$D$6,$D$3,$D$4,I31)</f>
        <v>2.2537972837515731E-3</v>
      </c>
      <c r="F31" s="37" cm="1">
        <f t="array" aca="1" ref="F31" ca="1">DeltaC($R$6,K31,$D$6,$D$3,$D$4,I31)</f>
        <v>0.86706090756580168</v>
      </c>
      <c r="G31" s="38" cm="1">
        <f t="array" aca="1" ref="G31" ca="1">BSMCall($R$6,K31,$D$6,$D$3,$D$4,I31)</f>
        <v>79.980965298054002</v>
      </c>
      <c r="H31" s="39">
        <f ca="1"/>
        <v>80</v>
      </c>
      <c r="I31" s="66">
        <f ca="1"/>
        <v>0.31989205505371088</v>
      </c>
      <c r="J31" s="40"/>
      <c r="K31" s="41">
        <f ca="1"/>
        <v>180</v>
      </c>
      <c r="L31" s="42"/>
      <c r="M31" s="64">
        <f ca="1"/>
        <v>0.32208929870605463</v>
      </c>
      <c r="N31" s="72">
        <f ca="1"/>
        <v>6.1</v>
      </c>
      <c r="O31" s="38" cm="1">
        <f t="array" aca="1" ref="O31" ca="1">BSMPut($R$6,K31,$D$6,$D$3,$D$4,M31)</f>
        <v>6.5447765770499871</v>
      </c>
      <c r="P31" s="37" cm="1">
        <f t="array" aca="1" ref="P31" ca="1">DeltaP($R$6,K31,$D$6,$D$3,$D$4,M31)</f>
        <v>-0.12371376137962599</v>
      </c>
      <c r="Q31" s="37" cm="1">
        <f t="array" aca="1" ref="Q31" ca="1">GammaCP($R$6,K31,$D$6,$D$3,$D$4,M31)</f>
        <v>2.2525687868335423E-3</v>
      </c>
      <c r="R31" s="37" cm="1">
        <f t="array" aca="1" ref="R31" ca="1">ThetaP($R$6,K31,$D$6,$D$3,$D$4,M31)</f>
        <v>-7.4256248472284048</v>
      </c>
      <c r="S31" s="37" cm="1">
        <f t="array" aca="1" ref="S31" ca="1">Vega($R$6,K31,$D$6,$D$3,$D$4,M31)</f>
        <v>57.20926291374974</v>
      </c>
      <c r="T31" s="37" cm="1">
        <f t="array" aca="1" ref="T31" ca="1">RhoP($R$6,K31,$D$6,$D$3,$D$4,M31)</f>
        <v>-46.404821390988843</v>
      </c>
      <c r="U31" s="68"/>
      <c r="V31" s="71">
        <f t="shared" ca="1" si="1"/>
        <v>222</v>
      </c>
      <c r="W31" s="8">
        <f ca="1"/>
        <v>20</v>
      </c>
      <c r="X31" s="15">
        <f ca="1"/>
        <v>44295.663773148153</v>
      </c>
      <c r="Y31" s="14">
        <f ca="1"/>
        <v>80</v>
      </c>
      <c r="Z31" s="14">
        <f ca="1"/>
        <v>80.400000000000006</v>
      </c>
      <c r="AA31" s="14">
        <f ca="1"/>
        <v>81.95</v>
      </c>
      <c r="AB31" s="14">
        <f ca="1"/>
        <v>2</v>
      </c>
      <c r="AC31" s="14">
        <f ca="1"/>
        <v>371</v>
      </c>
      <c r="AD31" s="14">
        <f ca="1"/>
        <v>0.31989205505371088</v>
      </c>
      <c r="AE31" s="6">
        <f ca="1"/>
        <v>180</v>
      </c>
      <c r="AF31" s="20">
        <f ca="1"/>
        <v>44295.661805555559</v>
      </c>
      <c r="AG31" s="18">
        <f ca="1"/>
        <v>6.1</v>
      </c>
      <c r="AH31" s="18">
        <f ca="1"/>
        <v>5.8</v>
      </c>
      <c r="AI31" s="18">
        <f ca="1"/>
        <v>6.2</v>
      </c>
      <c r="AJ31" s="18">
        <f ca="1"/>
        <v>4</v>
      </c>
      <c r="AK31" s="18">
        <f ca="1"/>
        <v>3279</v>
      </c>
      <c r="AL31" s="19">
        <f ca="1"/>
        <v>0.32208929870605463</v>
      </c>
      <c r="AM31" s="112">
        <f t="shared" ca="1" si="0"/>
        <v>148</v>
      </c>
      <c r="AN31" s="112">
        <f t="shared" ca="1" si="2"/>
        <v>296</v>
      </c>
    </row>
    <row r="32" spans="2:40" x14ac:dyDescent="0.2">
      <c r="B32" s="24" cm="1">
        <f t="array" aca="1" ref="B32" ca="1">RhoC($R$6,K32,$D$6,$D$3,$D$4,I32)</f>
        <v>172.84553642722724</v>
      </c>
      <c r="C32" s="24" cm="1">
        <f t="array" aca="1" ref="C32" ca="1">Vega($R$6,K32,$D$6,$D$3,$D$4,I32)</f>
        <v>60.771087397781486</v>
      </c>
      <c r="D32" s="24" cm="1">
        <f t="array" aca="1" ref="D32" ca="1">ThetaC($R$6,K32,$D$6,$D$3,$D$4,I32)/252</f>
        <v>-2.9078107790699883E-2</v>
      </c>
      <c r="E32" s="24" cm="1">
        <f t="array" aca="1" ref="E32" ca="1">GammaCP($R$6,K32,$D$6,$D$3,$D$4,I32)</f>
        <v>2.469560021514979E-3</v>
      </c>
      <c r="F32" s="24" cm="1">
        <f t="array" aca="1" ref="F32" ca="1">DeltaC($R$6,K32,$D$6,$D$3,$D$4,I32)</f>
        <v>0.85465795891423457</v>
      </c>
      <c r="G32" s="25" cm="1">
        <f t="array" aca="1" ref="G32" ca="1">BSMCall($R$6,K32,$D$6,$D$3,$D$4,I32)</f>
        <v>75.662218097487539</v>
      </c>
      <c r="H32" s="26">
        <f ca="1"/>
        <v>65</v>
      </c>
      <c r="I32" s="67">
        <f ca="1"/>
        <v>0.3120796331787109</v>
      </c>
      <c r="J32" s="27"/>
      <c r="K32" s="35">
        <f ca="1"/>
        <v>185</v>
      </c>
      <c r="L32" s="28"/>
      <c r="M32" s="65">
        <f ca="1"/>
        <v>0.31748119049072271</v>
      </c>
      <c r="N32" s="73">
        <f ca="1"/>
        <v>6.95</v>
      </c>
      <c r="O32" s="25" cm="1">
        <f t="array" aca="1" ref="O32" ca="1">BSMPut($R$6,K32,$D$6,$D$3,$D$4,M32)</f>
        <v>7.3705506346220488</v>
      </c>
      <c r="P32" s="24" cm="1">
        <f t="array" aca="1" ref="P32" ca="1">DeltaP($R$6,K32,$D$6,$D$3,$D$4,M32)</f>
        <v>-0.13778257138783567</v>
      </c>
      <c r="Q32" s="24" cm="1">
        <f t="array" aca="1" ref="Q32" ca="1">GammaCP($R$6,K32,$D$6,$D$3,$D$4,M32)</f>
        <v>2.4614837473522547E-3</v>
      </c>
      <c r="R32" s="24" cm="1">
        <f t="array" aca="1" ref="R32" ca="1">ThetaP($R$6,K32,$D$6,$D$3,$D$4,M32)</f>
        <v>-7.877123547307411</v>
      </c>
      <c r="S32" s="24" cm="1">
        <f t="array" aca="1" ref="S32" ca="1">Vega($R$6,K32,$D$6,$D$3,$D$4,M32)</f>
        <v>61.620748215536857</v>
      </c>
      <c r="T32" s="24" cm="1">
        <f t="array" aca="1" ref="T32" ca="1">RhoP($R$6,K32,$D$6,$D$3,$D$4,M32)</f>
        <v>-51.781615192685301</v>
      </c>
      <c r="U32" s="68"/>
      <c r="V32" s="71">
        <f t="shared" ca="1" si="1"/>
        <v>448.5</v>
      </c>
      <c r="W32" s="8">
        <f ca="1"/>
        <v>21</v>
      </c>
      <c r="X32" s="15">
        <f ca="1"/>
        <v>44287.832951388889</v>
      </c>
      <c r="Y32" s="14">
        <f ca="1"/>
        <v>65</v>
      </c>
      <c r="Z32" s="14">
        <f ca="1"/>
        <v>74.5</v>
      </c>
      <c r="AA32" s="14">
        <f ca="1"/>
        <v>77.55</v>
      </c>
      <c r="AB32" s="14">
        <f ca="1"/>
        <v>2</v>
      </c>
      <c r="AC32" s="14">
        <f ca="1"/>
        <v>87</v>
      </c>
      <c r="AD32" s="14">
        <f ca="1"/>
        <v>0.3120796331787109</v>
      </c>
      <c r="AE32" s="6">
        <f ca="1"/>
        <v>185</v>
      </c>
      <c r="AF32" s="20">
        <f ca="1"/>
        <v>44273.770069444443</v>
      </c>
      <c r="AG32" s="18">
        <f ca="1"/>
        <v>6.95</v>
      </c>
      <c r="AH32" s="18">
        <f ca="1"/>
        <v>6.4</v>
      </c>
      <c r="AI32" s="18">
        <f ca="1"/>
        <v>7</v>
      </c>
      <c r="AJ32" s="18">
        <f ca="1"/>
        <v>11</v>
      </c>
      <c r="AK32" s="18">
        <f ca="1"/>
        <v>367</v>
      </c>
      <c r="AL32" s="19">
        <f ca="1"/>
        <v>0.31748119049072271</v>
      </c>
      <c r="AM32" s="112">
        <f t="shared" ca="1" si="0"/>
        <v>138</v>
      </c>
      <c r="AN32" s="112">
        <f t="shared" ca="1" si="2"/>
        <v>759</v>
      </c>
    </row>
    <row r="33" spans="2:40" x14ac:dyDescent="0.2">
      <c r="B33" s="37" cm="1">
        <f t="array" aca="1" ref="B33" ca="1">RhoC($R$6,K33,$D$6,$D$3,$D$4,I33)</f>
        <v>172.93761695365311</v>
      </c>
      <c r="C33" s="37" cm="1">
        <f t="array" aca="1" ref="C33" ca="1">Vega($R$6,K33,$D$6,$D$3,$D$4,I33)</f>
        <v>65.391376157621536</v>
      </c>
      <c r="D33" s="37" cm="1">
        <f t="array" aca="1" ref="D33" ca="1">ThetaC($R$6,K33,$D$6,$D$3,$D$4,I33)/252</f>
        <v>-3.1152942555498223E-2</v>
      </c>
      <c r="E33" s="37" cm="1">
        <f t="array" aca="1" ref="E33" ca="1">GammaCP($R$6,K33,$D$6,$D$3,$D$4,I33)</f>
        <v>2.6899320476771005E-3</v>
      </c>
      <c r="F33" s="37" cm="1">
        <f t="array" aca="1" ref="F33" ca="1">DeltaC($R$6,K33,$D$6,$D$3,$D$4,I33)</f>
        <v>0.83915961690706276</v>
      </c>
      <c r="G33" s="38" cm="1">
        <f t="array" aca="1" ref="G33" ca="1">BSMCall($R$6,K33,$D$6,$D$3,$D$4,I33)</f>
        <v>71.650299641188809</v>
      </c>
      <c r="H33" s="39">
        <f ca="1"/>
        <v>72</v>
      </c>
      <c r="I33" s="66">
        <f ca="1"/>
        <v>0.30829549133300782</v>
      </c>
      <c r="J33" s="40"/>
      <c r="K33" s="41">
        <f ca="1"/>
        <v>190</v>
      </c>
      <c r="L33" s="42"/>
      <c r="M33" s="64">
        <f ca="1"/>
        <v>0.31177446044921869</v>
      </c>
      <c r="N33" s="72">
        <f ca="1"/>
        <v>7.65</v>
      </c>
      <c r="O33" s="38" cm="1">
        <f t="array" aca="1" ref="O33" ca="1">BSMPut($R$6,K33,$D$6,$D$3,$D$4,M33)</f>
        <v>8.1957172094883788</v>
      </c>
      <c r="P33" s="37" cm="1">
        <f t="array" aca="1" ref="P33" ca="1">DeltaP($R$6,K33,$D$6,$D$3,$D$4,M33)</f>
        <v>-0.15229188183186942</v>
      </c>
      <c r="Q33" s="37" cm="1">
        <f t="array" aca="1" ref="Q33" ca="1">GammaCP($R$6,K33,$D$6,$D$3,$D$4,M33)</f>
        <v>2.6808062428300312E-3</v>
      </c>
      <c r="R33" s="37" cm="1">
        <f t="array" aca="1" ref="R33" ca="1">ThetaP($R$6,K33,$D$6,$D$3,$D$4,M33)</f>
        <v>-8.2659141478153177</v>
      </c>
      <c r="S33" s="37" cm="1">
        <f t="array" aca="1" ref="S33" ca="1">Vega($R$6,K33,$D$6,$D$3,$D$4,M33)</f>
        <v>65.904938197443101</v>
      </c>
      <c r="T33" s="37" cm="1">
        <f t="array" aca="1" ref="T33" ca="1">RhoP($R$6,K33,$D$6,$D$3,$D$4,M33)</f>
        <v>-57.294415670357239</v>
      </c>
      <c r="U33" s="68"/>
      <c r="V33" s="71">
        <f t="shared" ca="1" si="1"/>
        <v>3776</v>
      </c>
      <c r="W33" s="8">
        <f ca="1"/>
        <v>22</v>
      </c>
      <c r="X33" s="15">
        <f ca="1"/>
        <v>44287.580995370372</v>
      </c>
      <c r="Y33" s="14">
        <f ca="1"/>
        <v>72</v>
      </c>
      <c r="Z33" s="14">
        <f ca="1"/>
        <v>70.650000000000006</v>
      </c>
      <c r="AA33" s="14">
        <f ca="1"/>
        <v>73.45</v>
      </c>
      <c r="AB33" s="14">
        <f ca="1"/>
        <v>1</v>
      </c>
      <c r="AC33" s="14">
        <f ca="1"/>
        <v>230</v>
      </c>
      <c r="AD33" s="14">
        <f ca="1"/>
        <v>0.30829549133300782</v>
      </c>
      <c r="AE33" s="6">
        <f ca="1"/>
        <v>190</v>
      </c>
      <c r="AF33" s="20">
        <f ca="1"/>
        <v>44295.659444444442</v>
      </c>
      <c r="AG33" s="18">
        <f ca="1"/>
        <v>7.65</v>
      </c>
      <c r="AH33" s="18">
        <f ca="1"/>
        <v>7.15</v>
      </c>
      <c r="AI33" s="18">
        <f ca="1"/>
        <v>7.8</v>
      </c>
      <c r="AJ33" s="18">
        <f ca="1"/>
        <v>117</v>
      </c>
      <c r="AK33" s="18">
        <f ca="1"/>
        <v>1151</v>
      </c>
      <c r="AL33" s="19">
        <f ca="1"/>
        <v>0.31177446044921869</v>
      </c>
      <c r="AM33" s="112">
        <f t="shared" ca="1" si="0"/>
        <v>64</v>
      </c>
      <c r="AN33" s="112">
        <f t="shared" ca="1" si="2"/>
        <v>7488</v>
      </c>
    </row>
    <row r="34" spans="2:40" x14ac:dyDescent="0.2">
      <c r="B34" s="24" cm="1">
        <f t="array" aca="1" ref="B34" ca="1">RhoC($R$6,K34,$D$6,$D$3,$D$4,I34)</f>
        <v>172.54594346600592</v>
      </c>
      <c r="C34" s="24" cm="1">
        <f t="array" aca="1" ref="C34" ca="1">Vega($R$6,K34,$D$6,$D$3,$D$4,I34)</f>
        <v>70.035729200855329</v>
      </c>
      <c r="D34" s="24" cm="1">
        <f t="array" aca="1" ref="D34" ca="1">ThetaC($R$6,K34,$D$6,$D$3,$D$4,I34)/252</f>
        <v>-3.3204930244823364E-2</v>
      </c>
      <c r="E34" s="24" cm="1">
        <f t="array" aca="1" ref="E34" ca="1">GammaCP($R$6,K34,$D$6,$D$3,$D$4,I34)</f>
        <v>2.9144467558735025E-3</v>
      </c>
      <c r="F34" s="24" cm="1">
        <f t="array" aca="1" ref="F34" ca="1">DeltaC($R$6,K34,$D$6,$D$3,$D$4,I34)</f>
        <v>0.82249729736860311</v>
      </c>
      <c r="G34" s="25" cm="1">
        <f t="array" aca="1" ref="G34" ca="1">BSMCall($R$6,K34,$D$6,$D$3,$D$4,I34)</f>
        <v>67.738534747454594</v>
      </c>
      <c r="H34" s="26">
        <f ca="1"/>
        <v>67.11</v>
      </c>
      <c r="I34" s="67">
        <f ca="1"/>
        <v>0.30475548767089838</v>
      </c>
      <c r="J34" s="27"/>
      <c r="K34" s="35">
        <f ca="1"/>
        <v>195</v>
      </c>
      <c r="L34" s="28"/>
      <c r="M34" s="65">
        <f ca="1"/>
        <v>0.30799031860351561</v>
      </c>
      <c r="N34" s="73">
        <f ca="1"/>
        <v>8.75</v>
      </c>
      <c r="O34" s="25" cm="1">
        <f t="array" aca="1" ref="O34" ca="1">BSMPut($R$6,K34,$D$6,$D$3,$D$4,M34)</f>
        <v>9.2220854000844668</v>
      </c>
      <c r="P34" s="24" cm="1">
        <f t="array" aca="1" ref="P34" ca="1">DeltaP($R$6,K34,$D$6,$D$3,$D$4,M34)</f>
        <v>-0.16879629165009252</v>
      </c>
      <c r="Q34" s="24" cm="1">
        <f t="array" aca="1" ref="Q34" ca="1">GammaCP($R$6,K34,$D$6,$D$3,$D$4,M34)</f>
        <v>2.9018233467955059E-3</v>
      </c>
      <c r="R34" s="24" cm="1">
        <f t="array" aca="1" ref="R34" ca="1">ThetaP($R$6,K34,$D$6,$D$3,$D$4,M34)</f>
        <v>-8.7228456298230412</v>
      </c>
      <c r="S34" s="24" cm="1">
        <f t="array" aca="1" ref="S34" ca="1">Vega($R$6,K34,$D$6,$D$3,$D$4,M34)</f>
        <v>70.472557103489336</v>
      </c>
      <c r="T34" s="24" cm="1">
        <f t="array" aca="1" ref="T34" ca="1">RhoP($R$6,K34,$D$6,$D$3,$D$4,M34)</f>
        <v>-63.672485564903006</v>
      </c>
      <c r="U34" s="68"/>
      <c r="V34" s="71">
        <f t="shared" ca="1" si="1"/>
        <v>2035.5</v>
      </c>
      <c r="W34" s="8">
        <f ca="1"/>
        <v>23</v>
      </c>
      <c r="X34" s="15">
        <f ca="1"/>
        <v>44295.800335648149</v>
      </c>
      <c r="Y34" s="14">
        <f ca="1"/>
        <v>67.11</v>
      </c>
      <c r="Z34" s="14">
        <f ca="1"/>
        <v>67.599999999999994</v>
      </c>
      <c r="AA34" s="14">
        <f ca="1"/>
        <v>69.45</v>
      </c>
      <c r="AB34" s="14">
        <f ca="1"/>
        <v>22</v>
      </c>
      <c r="AC34" s="14">
        <f ca="1"/>
        <v>608</v>
      </c>
      <c r="AD34" s="14">
        <f ca="1"/>
        <v>0.30475548767089838</v>
      </c>
      <c r="AE34" s="6">
        <f ca="1"/>
        <v>195</v>
      </c>
      <c r="AF34" s="20">
        <f ca="1"/>
        <v>44295.781319444453</v>
      </c>
      <c r="AG34" s="18">
        <f ca="1"/>
        <v>8.75</v>
      </c>
      <c r="AH34" s="18">
        <f ca="1"/>
        <v>8.0500000000000007</v>
      </c>
      <c r="AI34" s="18">
        <f ca="1"/>
        <v>8.8000000000000007</v>
      </c>
      <c r="AJ34" s="18">
        <f ca="1"/>
        <v>47</v>
      </c>
      <c r="AK34" s="18">
        <f ca="1"/>
        <v>1346</v>
      </c>
      <c r="AL34" s="19">
        <f ca="1"/>
        <v>0.30799031860351561</v>
      </c>
      <c r="AM34" s="112">
        <f t="shared" ca="1" si="0"/>
        <v>1298</v>
      </c>
      <c r="AN34" s="112">
        <f t="shared" ca="1" si="2"/>
        <v>2773</v>
      </c>
    </row>
    <row r="35" spans="2:40" x14ac:dyDescent="0.2">
      <c r="B35" s="37" cm="1">
        <f t="array" aca="1" ref="B35" ca="1">RhoC($R$6,K35,$D$6,$D$3,$D$4,I35)</f>
        <v>171.85802320661489</v>
      </c>
      <c r="C35" s="37" cm="1">
        <f t="array" aca="1" ref="C35" ca="1">Vega($R$6,K35,$D$6,$D$3,$D$4,I35)</f>
        <v>74.558725514230829</v>
      </c>
      <c r="D35" s="37" cm="1">
        <f t="array" aca="1" ref="D35" ca="1">ThetaC($R$6,K35,$D$6,$D$3,$D$4,I35)/252</f>
        <v>-3.5074638868557322E-2</v>
      </c>
      <c r="E35" s="37" cm="1">
        <f t="array" aca="1" ref="E35" ca="1">GammaCP($R$6,K35,$D$6,$D$3,$D$4,I35)</f>
        <v>3.144864305054478E-3</v>
      </c>
      <c r="F35" s="37" cm="1">
        <f t="array" aca="1" ref="F35" ca="1">DeltaC($R$6,K35,$D$6,$D$3,$D$4,I35)</f>
        <v>0.8050704124991549</v>
      </c>
      <c r="G35" s="38" cm="1">
        <f t="array" aca="1" ref="G35" ca="1">BSMCall($R$6,K35,$D$6,$D$3,$D$4,I35)</f>
        <v>63.874957115422973</v>
      </c>
      <c r="H35" s="39">
        <f ca="1"/>
        <v>63.3</v>
      </c>
      <c r="I35" s="66">
        <f ca="1"/>
        <v>0.30066617309570309</v>
      </c>
      <c r="J35" s="40"/>
      <c r="K35" s="41">
        <f ca="1"/>
        <v>200</v>
      </c>
      <c r="L35" s="42"/>
      <c r="M35" s="64">
        <f ca="1"/>
        <v>0.30303126174926759</v>
      </c>
      <c r="N35" s="72">
        <f ca="1"/>
        <v>9.68</v>
      </c>
      <c r="O35" s="38" cm="1">
        <f t="array" aca="1" ref="O35" ca="1">BSMPut($R$6,K35,$D$6,$D$3,$D$4,M35)</f>
        <v>10.247186382337389</v>
      </c>
      <c r="P35" s="37" cm="1">
        <f t="array" aca="1" ref="P35" ca="1">DeltaP($R$6,K35,$D$6,$D$3,$D$4,M35)</f>
        <v>-0.18575128227928744</v>
      </c>
      <c r="Q35" s="37" cm="1">
        <f t="array" aca="1" ref="Q35" ca="1">GammaCP($R$6,K35,$D$6,$D$3,$D$4,M35)</f>
        <v>3.1323982853331766E-3</v>
      </c>
      <c r="R35" s="37" cm="1">
        <f t="array" aca="1" ref="R35" ca="1">ThetaP($R$6,K35,$D$6,$D$3,$D$4,M35)</f>
        <v>-9.1055028347707481</v>
      </c>
      <c r="S35" s="37" cm="1">
        <f t="array" aca="1" ref="S35" ca="1">Vega($R$6,K35,$D$6,$D$3,$D$4,M35)</f>
        <v>74.847346160629769</v>
      </c>
      <c r="T35" s="37" cm="1">
        <f t="array" aca="1" ref="T35" ca="1">RhoP($R$6,K35,$D$6,$D$3,$D$4,M35)</f>
        <v>-70.188885170521004</v>
      </c>
      <c r="U35" s="68"/>
      <c r="V35" s="71">
        <f t="shared" ca="1" si="1"/>
        <v>3699</v>
      </c>
      <c r="W35" s="8">
        <f ca="1"/>
        <v>24</v>
      </c>
      <c r="X35" s="15">
        <f ca="1"/>
        <v>44295.794317129628</v>
      </c>
      <c r="Y35" s="14">
        <f ca="1"/>
        <v>63.3</v>
      </c>
      <c r="Z35" s="14">
        <f ca="1"/>
        <v>63.55</v>
      </c>
      <c r="AA35" s="14">
        <f ca="1"/>
        <v>65.5</v>
      </c>
      <c r="AB35" s="14">
        <f ca="1"/>
        <v>60</v>
      </c>
      <c r="AC35" s="14">
        <f ca="1"/>
        <v>1563</v>
      </c>
      <c r="AD35" s="14">
        <f ca="1"/>
        <v>0.30066617309570309</v>
      </c>
      <c r="AE35" s="6">
        <f ca="1"/>
        <v>200</v>
      </c>
      <c r="AF35" s="20">
        <f ca="1"/>
        <v>44295.570138888892</v>
      </c>
      <c r="AG35" s="18">
        <f ca="1"/>
        <v>9.68</v>
      </c>
      <c r="AH35" s="18">
        <f ca="1"/>
        <v>8.6999999999999993</v>
      </c>
      <c r="AI35" s="18">
        <f ca="1"/>
        <v>9.8000000000000007</v>
      </c>
      <c r="AJ35" s="18">
        <f ca="1"/>
        <v>77</v>
      </c>
      <c r="AK35" s="18">
        <f ca="1"/>
        <v>3434</v>
      </c>
      <c r="AL35" s="19">
        <f ca="1"/>
        <v>0.30303126174926759</v>
      </c>
      <c r="AM35" s="112">
        <f t="shared" ca="1" si="0"/>
        <v>3240</v>
      </c>
      <c r="AN35" s="112">
        <f t="shared" ca="1" si="2"/>
        <v>4158</v>
      </c>
    </row>
    <row r="36" spans="2:40" x14ac:dyDescent="0.2">
      <c r="B36" s="24" cm="1">
        <f t="array" aca="1" ref="B36" ca="1">RhoC($R$6,K36,$D$6,$D$3,$D$4,I36)</f>
        <v>170.85390941531998</v>
      </c>
      <c r="C36" s="24" cm="1">
        <f t="array" aca="1" ref="C36" ca="1">Vega($R$6,K36,$D$6,$D$3,$D$4,I36)</f>
        <v>78.951204285636095</v>
      </c>
      <c r="D36" s="24" cm="1">
        <f t="array" aca="1" ref="D36" ca="1">ThetaC($R$6,K36,$D$6,$D$3,$D$4,I36)/252</f>
        <v>-3.6755665635438903E-2</v>
      </c>
      <c r="E36" s="24" cm="1">
        <f t="array" aca="1" ref="E36" ca="1">GammaCP($R$6,K36,$D$6,$D$3,$D$4,I36)</f>
        <v>3.3816223405448544E-3</v>
      </c>
      <c r="F36" s="24" cm="1">
        <f t="array" aca="1" ref="F36" ca="1">DeltaC($R$6,K36,$D$6,$D$3,$D$4,I36)</f>
        <v>0.78681969834076648</v>
      </c>
      <c r="G36" s="25" cm="1">
        <f t="array" aca="1" ref="G36" ca="1">BSMCall($R$6,K36,$D$6,$D$3,$D$4,I36)</f>
        <v>60.060833987248088</v>
      </c>
      <c r="H36" s="26">
        <f ca="1"/>
        <v>59.75</v>
      </c>
      <c r="I36" s="67">
        <f ca="1"/>
        <v>0.29608858215332029</v>
      </c>
      <c r="J36" s="27"/>
      <c r="K36" s="35">
        <f ca="1"/>
        <v>205</v>
      </c>
      <c r="L36" s="28"/>
      <c r="M36" s="65">
        <f ca="1"/>
        <v>0.29895720581054691</v>
      </c>
      <c r="N36" s="73">
        <f ca="1"/>
        <v>11.05</v>
      </c>
      <c r="O36" s="25" cm="1">
        <f t="array" aca="1" ref="O36" ca="1">BSMPut($R$6,K36,$D$6,$D$3,$D$4,M36)</f>
        <v>11.422570559060176</v>
      </c>
      <c r="P36" s="24" cm="1">
        <f t="array" aca="1" ref="P36" ca="1">DeltaP($R$6,K36,$D$6,$D$3,$D$4,M36)</f>
        <v>-0.2041836402982003</v>
      </c>
      <c r="Q36" s="24" cm="1">
        <f t="array" aca="1" ref="Q36" ca="1">GammaCP($R$6,K36,$D$6,$D$3,$D$4,M36)</f>
        <v>3.3622729035590266E-3</v>
      </c>
      <c r="R36" s="24" cm="1">
        <f t="array" aca="1" ref="R36" ca="1">ThetaP($R$6,K36,$D$6,$D$3,$D$4,M36)</f>
        <v>-9.501655208901596</v>
      </c>
      <c r="S36" s="24" cm="1">
        <f t="array" aca="1" ref="S36" ca="1">Vega($R$6,K36,$D$6,$D$3,$D$4,M36)</f>
        <v>79.259984124578708</v>
      </c>
      <c r="T36" s="24" cm="1">
        <f t="array" aca="1" ref="T36" ca="1">RhoP($R$6,K36,$D$6,$D$3,$D$4,M36)</f>
        <v>-77.347596431044934</v>
      </c>
      <c r="U36" s="68"/>
      <c r="V36" s="71">
        <f t="shared" ca="1" si="1"/>
        <v>1445.5</v>
      </c>
      <c r="W36" s="8">
        <f ca="1"/>
        <v>25</v>
      </c>
      <c r="X36" s="15">
        <f ca="1"/>
        <v>44295.670011574082</v>
      </c>
      <c r="Y36" s="14">
        <f ca="1"/>
        <v>59.75</v>
      </c>
      <c r="Z36" s="14">
        <f ca="1"/>
        <v>60.2</v>
      </c>
      <c r="AA36" s="14">
        <f ca="1"/>
        <v>61.6</v>
      </c>
      <c r="AB36" s="14">
        <f ca="1"/>
        <v>2</v>
      </c>
      <c r="AC36" s="14">
        <f ca="1"/>
        <v>31</v>
      </c>
      <c r="AD36" s="14">
        <f ca="1"/>
        <v>0.29608858215332029</v>
      </c>
      <c r="AE36" s="6">
        <f ca="1"/>
        <v>205</v>
      </c>
      <c r="AF36" s="20">
        <f ca="1"/>
        <v>44294.822685185187</v>
      </c>
      <c r="AG36" s="18">
        <f ca="1"/>
        <v>11.05</v>
      </c>
      <c r="AH36" s="18">
        <f ca="1"/>
        <v>9.85</v>
      </c>
      <c r="AI36" s="18">
        <f ca="1"/>
        <v>10.95</v>
      </c>
      <c r="AJ36" s="18">
        <f ca="1"/>
        <v>57</v>
      </c>
      <c r="AK36" s="18">
        <f ca="1"/>
        <v>737</v>
      </c>
      <c r="AL36" s="19">
        <f ca="1"/>
        <v>0.29895720581054691</v>
      </c>
      <c r="AM36" s="112">
        <f t="shared" ca="1" si="0"/>
        <v>98</v>
      </c>
      <c r="AN36" s="112">
        <f t="shared" ca="1" si="2"/>
        <v>2793</v>
      </c>
    </row>
    <row r="37" spans="2:40" x14ac:dyDescent="0.2">
      <c r="B37" s="37" cm="1">
        <f t="array" aca="1" ref="B37" ca="1">RhoC($R$6,K37,$D$6,$D$3,$D$4,I37)</f>
        <v>169.22816903459801</v>
      </c>
      <c r="C37" s="37" cm="1">
        <f t="array" aca="1" ref="C37" ca="1">Vega($R$6,K37,$D$6,$D$3,$D$4,I37)</f>
        <v>83.311425669099648</v>
      </c>
      <c r="D37" s="37" cm="1">
        <f t="array" aca="1" ref="D37" ca="1">ThetaC($R$6,K37,$D$6,$D$3,$D$4,I37)/252</f>
        <v>-3.8449179079443709E-2</v>
      </c>
      <c r="E37" s="37" cm="1">
        <f t="array" aca="1" ref="E37" ca="1">GammaCP($R$6,K37,$D$6,$D$3,$D$4,I37)</f>
        <v>3.6151404667982092E-3</v>
      </c>
      <c r="F37" s="37" cm="1">
        <f t="array" aca="1" ref="F37" ca="1">DeltaC($R$6,K37,$D$6,$D$3,$D$4,I37)</f>
        <v>0.76715698050714276</v>
      </c>
      <c r="G37" s="38" cm="1">
        <f t="array" aca="1" ref="G37" ca="1">BSMCall($R$6,K37,$D$6,$D$3,$D$4,I37)</f>
        <v>56.396672073750494</v>
      </c>
      <c r="H37" s="39">
        <f ca="1"/>
        <v>55.75</v>
      </c>
      <c r="I37" s="66">
        <f ca="1"/>
        <v>0.29225866439819331</v>
      </c>
      <c r="J37" s="40"/>
      <c r="K37" s="41">
        <f ca="1"/>
        <v>210</v>
      </c>
      <c r="L37" s="42"/>
      <c r="M37" s="64">
        <f ca="1"/>
        <v>0.29560030578613278</v>
      </c>
      <c r="N37" s="72">
        <f ca="1"/>
        <v>12.15</v>
      </c>
      <c r="O37" s="38" cm="1">
        <f t="array" aca="1" ref="O37" ca="1">BSMPut($R$6,K37,$D$6,$D$3,$D$4,M37)</f>
        <v>12.749655894340862</v>
      </c>
      <c r="P37" s="37" cm="1">
        <f t="array" aca="1" ref="P37" ca="1">DeltaP($R$6,K37,$D$6,$D$3,$D$4,M37)</f>
        <v>-0.22395633532592582</v>
      </c>
      <c r="Q37" s="37" cm="1">
        <f t="array" aca="1" ref="Q37" ca="1">GammaCP($R$6,K37,$D$6,$D$3,$D$4,M37)</f>
        <v>3.5874205174103741E-3</v>
      </c>
      <c r="R37" s="37" cm="1">
        <f t="array" aca="1" ref="R37" ca="1">ThetaP($R$6,K37,$D$6,$D$3,$D$4,M37)</f>
        <v>-9.8989996406787597</v>
      </c>
      <c r="S37" s="37" cm="1">
        <f t="array" aca="1" ref="S37" ca="1">Vega($R$6,K37,$D$6,$D$3,$D$4,M37)</f>
        <v>83.617881685179384</v>
      </c>
      <c r="T37" s="37" cm="1">
        <f t="array" aca="1" ref="T37" ca="1">RhoP($R$6,K37,$D$6,$D$3,$D$4,M37)</f>
        <v>-85.107812620754174</v>
      </c>
      <c r="U37" s="68"/>
      <c r="V37" s="71">
        <f t="shared" ca="1" si="1"/>
        <v>638</v>
      </c>
      <c r="W37" s="8">
        <f ca="1"/>
        <v>26</v>
      </c>
      <c r="X37" s="15">
        <f ca="1"/>
        <v>44295.80023148148</v>
      </c>
      <c r="Y37" s="14">
        <f ca="1"/>
        <v>55.75</v>
      </c>
      <c r="Z37" s="14">
        <f ca="1"/>
        <v>55.7</v>
      </c>
      <c r="AA37" s="14">
        <f ca="1"/>
        <v>57.85</v>
      </c>
      <c r="AB37" s="14">
        <f ca="1"/>
        <v>4</v>
      </c>
      <c r="AC37" s="14">
        <f ca="1"/>
        <v>1832</v>
      </c>
      <c r="AD37" s="14">
        <f ca="1"/>
        <v>0.29225866439819331</v>
      </c>
      <c r="AE37" s="6">
        <f ca="1"/>
        <v>210</v>
      </c>
      <c r="AF37" s="20">
        <f ca="1"/>
        <v>44293.808587962973</v>
      </c>
      <c r="AG37" s="18">
        <f ca="1"/>
        <v>12.15</v>
      </c>
      <c r="AH37" s="18">
        <f ca="1"/>
        <v>11.1</v>
      </c>
      <c r="AI37" s="18">
        <f ca="1"/>
        <v>12.25</v>
      </c>
      <c r="AJ37" s="18">
        <f ca="1"/>
        <v>25</v>
      </c>
      <c r="AK37" s="18">
        <f ca="1"/>
        <v>2348</v>
      </c>
      <c r="AL37" s="19">
        <f ca="1"/>
        <v>0.29560030578613278</v>
      </c>
      <c r="AM37" s="112">
        <f t="shared" ca="1" si="0"/>
        <v>176</v>
      </c>
      <c r="AN37" s="112">
        <f t="shared" ca="1" si="2"/>
        <v>1100</v>
      </c>
    </row>
    <row r="38" spans="2:40" x14ac:dyDescent="0.2">
      <c r="B38" s="24" cm="1">
        <f t="array" aca="1" ref="B38" ca="1">RhoC($R$6,K38,$D$6,$D$3,$D$4,I38)</f>
        <v>167.02605385393815</v>
      </c>
      <c r="C38" s="24" cm="1">
        <f t="array" aca="1" ref="C38" ca="1">Vega($R$6,K38,$D$6,$D$3,$D$4,I38)</f>
        <v>87.550380502814335</v>
      </c>
      <c r="D38" s="24" cm="1">
        <f t="array" aca="1" ref="D38" ca="1">ThetaC($R$6,K38,$D$6,$D$3,$D$4,I38)/252</f>
        <v>-4.010840075676643E-2</v>
      </c>
      <c r="E38" s="24" cm="1">
        <f t="array" aca="1" ref="E38" ca="1">GammaCP($R$6,K38,$D$6,$D$3,$D$4,I38)</f>
        <v>3.8416021546769387E-3</v>
      </c>
      <c r="F38" s="24" cm="1">
        <f t="array" aca="1" ref="F38" ca="1">DeltaC($R$6,K38,$D$6,$D$3,$D$4,I38)</f>
        <v>0.74622864133207567</v>
      </c>
      <c r="G38" s="25" cm="1">
        <f t="array" aca="1" ref="G38" ca="1">BSMCall($R$6,K38,$D$6,$D$3,$D$4,I38)</f>
        <v>52.882627817679378</v>
      </c>
      <c r="H38" s="26">
        <f ca="1"/>
        <v>52.15</v>
      </c>
      <c r="I38" s="67">
        <f ca="1"/>
        <v>0.28902383346557609</v>
      </c>
      <c r="J38" s="27"/>
      <c r="K38" s="35">
        <f ca="1"/>
        <v>215</v>
      </c>
      <c r="L38" s="28"/>
      <c r="M38" s="65">
        <f ca="1"/>
        <v>0.29105323211669909</v>
      </c>
      <c r="N38" s="73">
        <f ca="1"/>
        <v>13.54</v>
      </c>
      <c r="O38" s="25" cm="1">
        <f t="array" aca="1" ref="O38" ca="1">BSMPut($R$6,K38,$D$6,$D$3,$D$4,M38)</f>
        <v>14.073792466865569</v>
      </c>
      <c r="P38" s="24" cm="1">
        <f t="array" aca="1" ref="P38" ca="1">DeltaP($R$6,K38,$D$6,$D$3,$D$4,M38)</f>
        <v>-0.24423394056929598</v>
      </c>
      <c r="Q38" s="24" cm="1">
        <f t="array" aca="1" ref="Q38" ca="1">GammaCP($R$6,K38,$D$6,$D$3,$D$4,M38)</f>
        <v>3.8215097752348397E-3</v>
      </c>
      <c r="R38" s="24" cm="1">
        <f t="array" aca="1" ref="R38" ca="1">ThetaP($R$6,K38,$D$6,$D$3,$D$4,M38)</f>
        <v>-10.20901627287058</v>
      </c>
      <c r="S38" s="24" cm="1">
        <f t="array" aca="1" ref="S38" ca="1">Vega($R$6,K38,$D$6,$D$3,$D$4,M38)</f>
        <v>87.70399894647683</v>
      </c>
      <c r="T38" s="24" cm="1">
        <f t="array" aca="1" ref="T38" ca="1">RhoP($R$6,K38,$D$6,$D$3,$D$4,M38)</f>
        <v>-93.021169358746604</v>
      </c>
      <c r="U38" s="68"/>
      <c r="V38" s="71">
        <f t="shared" ca="1" si="1"/>
        <v>721.5</v>
      </c>
      <c r="W38" s="8">
        <f ca="1"/>
        <v>27</v>
      </c>
      <c r="X38" s="15">
        <f ca="1"/>
        <v>44295.800243055557</v>
      </c>
      <c r="Y38" s="14">
        <f ca="1"/>
        <v>52.15</v>
      </c>
      <c r="Z38" s="14">
        <f ca="1"/>
        <v>52.5</v>
      </c>
      <c r="AA38" s="14">
        <f ca="1"/>
        <v>54.25</v>
      </c>
      <c r="AB38" s="14">
        <f ca="1"/>
        <v>1</v>
      </c>
      <c r="AC38" s="14">
        <f ca="1"/>
        <v>167</v>
      </c>
      <c r="AD38" s="14">
        <f ca="1"/>
        <v>0.28902383346557609</v>
      </c>
      <c r="AE38" s="6">
        <f ca="1"/>
        <v>215</v>
      </c>
      <c r="AF38" s="20">
        <f ca="1"/>
        <v>44295.615300925929</v>
      </c>
      <c r="AG38" s="18">
        <f ca="1"/>
        <v>13.54</v>
      </c>
      <c r="AH38" s="18">
        <f ca="1"/>
        <v>12.55</v>
      </c>
      <c r="AI38" s="18">
        <f ca="1"/>
        <v>13.55</v>
      </c>
      <c r="AJ38" s="18">
        <f ca="1"/>
        <v>36</v>
      </c>
      <c r="AK38" s="18">
        <f ca="1"/>
        <v>386</v>
      </c>
      <c r="AL38" s="19">
        <f ca="1"/>
        <v>0.29105323211669909</v>
      </c>
      <c r="AM38" s="112">
        <f t="shared" ca="1" si="0"/>
        <v>39</v>
      </c>
      <c r="AN38" s="112">
        <f t="shared" ca="1" si="2"/>
        <v>1404</v>
      </c>
    </row>
    <row r="39" spans="2:40" x14ac:dyDescent="0.2">
      <c r="B39" s="37" cm="1">
        <f t="array" aca="1" ref="B39" ca="1">RhoC($R$6,K39,$D$6,$D$3,$D$4,I39)</f>
        <v>163.6989728853693</v>
      </c>
      <c r="C39" s="37" cm="1">
        <f t="array" aca="1" ref="C39" ca="1">Vega($R$6,K39,$D$6,$D$3,$D$4,I39)</f>
        <v>91.749284542439568</v>
      </c>
      <c r="D39" s="37" cm="1">
        <f t="array" aca="1" ref="D39" ca="1">ThetaC($R$6,K39,$D$6,$D$3,$D$4,I39)/252</f>
        <v>-4.21650364782696E-2</v>
      </c>
      <c r="E39" s="37" cm="1">
        <f t="array" aca="1" ref="E39" ca="1">GammaCP($R$6,K39,$D$6,$D$3,$D$4,I39)</f>
        <v>4.0260574087386909E-3</v>
      </c>
      <c r="F39" s="37" cm="1">
        <f t="array" aca="1" ref="F39" ca="1">DeltaC($R$6,K39,$D$6,$D$3,$D$4,I39)</f>
        <v>0.72325758224132886</v>
      </c>
      <c r="G39" s="38" cm="1">
        <f t="array" aca="1" ref="G39" ca="1">BSMCall($R$6,K39,$D$6,$D$3,$D$4,I39)</f>
        <v>49.770171155668208</v>
      </c>
      <c r="H39" s="39">
        <f ca="1"/>
        <v>50</v>
      </c>
      <c r="I39" s="66">
        <f ca="1"/>
        <v>0.28900857482910153</v>
      </c>
      <c r="J39" s="40"/>
      <c r="K39" s="41">
        <f ca="1"/>
        <v>220</v>
      </c>
      <c r="L39" s="42"/>
      <c r="M39" s="64">
        <f ca="1"/>
        <v>0.28874917800903321</v>
      </c>
      <c r="N39" s="72">
        <f ca="1"/>
        <v>15.35</v>
      </c>
      <c r="O39" s="38" cm="1">
        <f t="array" aca="1" ref="O39" ca="1">BSMPut($R$6,K39,$D$6,$D$3,$D$4,M39)</f>
        <v>15.698968811914227</v>
      </c>
      <c r="P39" s="37" cm="1">
        <f t="array" aca="1" ref="P39" ca="1">DeltaP($R$6,K39,$D$6,$D$3,$D$4,M39)</f>
        <v>-0.26632059370025785</v>
      </c>
      <c r="Q39" s="37" cm="1">
        <f t="array" aca="1" ref="Q39" ca="1">GammaCP($R$6,K39,$D$6,$D$3,$D$4,M39)</f>
        <v>4.0290150586198862E-3</v>
      </c>
      <c r="R39" s="37" cm="1">
        <f t="array" aca="1" ref="R39" ca="1">ThetaP($R$6,K39,$D$6,$D$3,$D$4,M39)</f>
        <v>-10.577762857022432</v>
      </c>
      <c r="S39" s="37" cm="1">
        <f t="array" aca="1" ref="S39" ca="1">Vega($R$6,K39,$D$6,$D$3,$D$4,M39)</f>
        <v>91.73427686188603</v>
      </c>
      <c r="T39" s="37" cm="1">
        <f t="array" aca="1" ref="T39" ca="1">RhoP($R$6,K39,$D$6,$D$3,$D$4,M39)</f>
        <v>-101.86406044628664</v>
      </c>
      <c r="U39" s="68"/>
      <c r="V39" s="71">
        <f t="shared" ca="1" si="1"/>
        <v>2771</v>
      </c>
      <c r="W39" s="8">
        <f ca="1"/>
        <v>28</v>
      </c>
      <c r="X39" s="15">
        <f ca="1"/>
        <v>44295.83053240741</v>
      </c>
      <c r="Y39" s="14">
        <f ca="1"/>
        <v>50</v>
      </c>
      <c r="Z39" s="14">
        <f ca="1"/>
        <v>49.05</v>
      </c>
      <c r="AA39" s="14">
        <f ca="1"/>
        <v>51.05</v>
      </c>
      <c r="AB39" s="14">
        <f ca="1"/>
        <v>3</v>
      </c>
      <c r="AC39" s="14">
        <f ca="1"/>
        <v>2255</v>
      </c>
      <c r="AD39" s="14">
        <f ca="1"/>
        <v>0.28900857482910153</v>
      </c>
      <c r="AE39" s="6">
        <f ca="1"/>
        <v>220</v>
      </c>
      <c r="AF39" s="20">
        <f ca="1"/>
        <v>44294.820914351847</v>
      </c>
      <c r="AG39" s="18">
        <f ca="1"/>
        <v>15.35</v>
      </c>
      <c r="AH39" s="18">
        <f ca="1"/>
        <v>14.1</v>
      </c>
      <c r="AI39" s="18">
        <f ca="1"/>
        <v>15.15</v>
      </c>
      <c r="AJ39" s="18">
        <f ca="1"/>
        <v>160</v>
      </c>
      <c r="AK39" s="18">
        <f ca="1"/>
        <v>2792</v>
      </c>
      <c r="AL39" s="19">
        <f ca="1"/>
        <v>0.28874917800903321</v>
      </c>
      <c r="AM39" s="112">
        <f t="shared" ca="1" si="0"/>
        <v>102</v>
      </c>
      <c r="AN39" s="112">
        <f t="shared" ca="1" si="2"/>
        <v>5440</v>
      </c>
    </row>
    <row r="40" spans="2:40" x14ac:dyDescent="0.2">
      <c r="B40" s="24" cm="1">
        <f t="array" aca="1" ref="B40" ca="1">RhoC($R$6,K40,$D$6,$D$3,$D$4,I40)</f>
        <v>161.52360199243111</v>
      </c>
      <c r="C40" s="24" cm="1">
        <f t="array" aca="1" ref="C40" ca="1">Vega($R$6,K40,$D$6,$D$3,$D$4,I40)</f>
        <v>95.261019587234145</v>
      </c>
      <c r="D40" s="24" cm="1">
        <f t="array" aca="1" ref="D40" ca="1">ThetaC($R$6,K40,$D$6,$D$3,$D$4,I40)/252</f>
        <v>-4.2802639553091638E-2</v>
      </c>
      <c r="E40" s="24" cm="1">
        <f t="array" aca="1" ref="E40" ca="1">GammaCP($R$6,K40,$D$6,$D$3,$D$4,I40)</f>
        <v>4.2879162895570434E-3</v>
      </c>
      <c r="F40" s="24" cm="1">
        <f t="array" aca="1" ref="F40" ca="1">DeltaC($R$6,K40,$D$6,$D$3,$D$4,I40)</f>
        <v>0.70180122572655257</v>
      </c>
      <c r="G40" s="25" cm="1">
        <f t="array" aca="1" ref="G40" ca="1">BSMCall($R$6,K40,$D$6,$D$3,$D$4,I40)</f>
        <v>46.100128522479309</v>
      </c>
      <c r="H40" s="26">
        <f ca="1"/>
        <v>45.85</v>
      </c>
      <c r="I40" s="67">
        <f ca="1"/>
        <v>0.28174546386718752</v>
      </c>
      <c r="J40" s="27"/>
      <c r="K40" s="35">
        <f ca="1"/>
        <v>225</v>
      </c>
      <c r="L40" s="28"/>
      <c r="M40" s="65">
        <f ca="1"/>
        <v>0.28467512207031243</v>
      </c>
      <c r="N40" s="73">
        <f ca="1"/>
        <v>16.53</v>
      </c>
      <c r="O40" s="25" cm="1">
        <f t="array" aca="1" ref="O40" ca="1">BSMPut($R$6,K40,$D$6,$D$3,$D$4,M40)</f>
        <v>17.27125649160385</v>
      </c>
      <c r="P40" s="24" cm="1">
        <f t="array" aca="1" ref="P40" ca="1">DeltaP($R$6,K40,$D$6,$D$3,$D$4,M40)</f>
        <v>-0.28869437899707534</v>
      </c>
      <c r="Q40" s="24" cm="1">
        <f t="array" aca="1" ref="Q40" ca="1">GammaCP($R$6,K40,$D$6,$D$3,$D$4,M40)</f>
        <v>4.2494990628457255E-3</v>
      </c>
      <c r="R40" s="24" cm="1">
        <f t="array" aca="1" ref="R40" ca="1">ThetaP($R$6,K40,$D$6,$D$3,$D$4,M40)</f>
        <v>-10.826275428840241</v>
      </c>
      <c r="S40" s="24" cm="1">
        <f t="array" aca="1" ref="S40" ca="1">Vega($R$6,K40,$D$6,$D$3,$D$4,M40)</f>
        <v>95.38920910529697</v>
      </c>
      <c r="T40" s="24" cm="1">
        <f t="array" aca="1" ref="T40" ca="1">RhoP($R$6,K40,$D$6,$D$3,$D$4,M40)</f>
        <v>-110.73144810075075</v>
      </c>
      <c r="U40" s="68"/>
      <c r="V40" s="71">
        <f t="shared" ca="1" si="1"/>
        <v>72.5</v>
      </c>
      <c r="W40" s="8">
        <f ca="1"/>
        <v>29</v>
      </c>
      <c r="X40" s="15">
        <f ca="1"/>
        <v>44295.734363425923</v>
      </c>
      <c r="Y40" s="14">
        <f ca="1"/>
        <v>45.85</v>
      </c>
      <c r="Z40" s="14">
        <f ca="1"/>
        <v>45.65</v>
      </c>
      <c r="AA40" s="14">
        <f ca="1"/>
        <v>47.3</v>
      </c>
      <c r="AB40" s="14">
        <f ca="1"/>
        <v>4</v>
      </c>
      <c r="AC40" s="14">
        <f ca="1"/>
        <v>334</v>
      </c>
      <c r="AD40" s="14">
        <f ca="1"/>
        <v>0.28174546386718752</v>
      </c>
      <c r="AE40" s="6">
        <f ca="1"/>
        <v>225</v>
      </c>
      <c r="AF40" s="20">
        <f ca="1"/>
        <v>44291.748252314806</v>
      </c>
      <c r="AG40" s="18">
        <f ca="1"/>
        <v>16.53</v>
      </c>
      <c r="AH40" s="18">
        <f ca="1"/>
        <v>15.7</v>
      </c>
      <c r="AI40" s="18">
        <f ca="1"/>
        <v>16.7</v>
      </c>
      <c r="AJ40" s="18">
        <f ca="1"/>
        <v>1</v>
      </c>
      <c r="AK40" s="18">
        <f ca="1"/>
        <v>536</v>
      </c>
      <c r="AL40" s="19">
        <f ca="1"/>
        <v>0.28467512207031243</v>
      </c>
      <c r="AM40" s="112">
        <f t="shared" ca="1" si="0"/>
        <v>116</v>
      </c>
      <c r="AN40" s="112">
        <f t="shared" ca="1" si="2"/>
        <v>29</v>
      </c>
    </row>
    <row r="41" spans="2:40" x14ac:dyDescent="0.2">
      <c r="B41" s="37" cm="1">
        <f t="array" aca="1" ref="B41" ca="1">RhoC($R$6,K41,$D$6,$D$3,$D$4,I41)</f>
        <v>158.12283563421875</v>
      </c>
      <c r="C41" s="37" cm="1">
        <f t="array" aca="1" ref="C41" ca="1">Vega($R$6,K41,$D$6,$D$3,$D$4,I41)</f>
        <v>98.687123252920173</v>
      </c>
      <c r="D41" s="37" cm="1">
        <f t="array" aca="1" ref="D41" ca="1">ThetaC($R$6,K41,$D$6,$D$3,$D$4,I41)/252</f>
        <v>-4.3894537450439176E-2</v>
      </c>
      <c r="E41" s="37" cm="1">
        <f t="array" aca="1" ref="E41" ca="1">GammaCP($R$6,K41,$D$6,$D$3,$D$4,I41)</f>
        <v>4.4986566239793076E-3</v>
      </c>
      <c r="F41" s="37" cm="1">
        <f t="array" aca="1" ref="F41" ca="1">DeltaC($R$6,K41,$D$6,$D$3,$D$4,I41)</f>
        <v>0.67817647019521077</v>
      </c>
      <c r="G41" s="38" cm="1">
        <f t="array" aca="1" ref="G41" ca="1">BSMCall($R$6,K41,$D$6,$D$3,$D$4,I41)</f>
        <v>42.881921790008249</v>
      </c>
      <c r="H41" s="39">
        <f ca="1"/>
        <v>42.5</v>
      </c>
      <c r="I41" s="66">
        <f ca="1"/>
        <v>0.27820546020507808</v>
      </c>
      <c r="J41" s="40"/>
      <c r="K41" s="41">
        <f ca="1"/>
        <v>230</v>
      </c>
      <c r="L41" s="42"/>
      <c r="M41" s="64">
        <f ca="1"/>
        <v>0.28256943023681641</v>
      </c>
      <c r="N41" s="72">
        <f ca="1"/>
        <v>18.600000000000001</v>
      </c>
      <c r="O41" s="38" cm="1">
        <f t="array" aca="1" ref="O41" ca="1">BSMPut($R$6,K41,$D$6,$D$3,$D$4,M41)</f>
        <v>19.14398690943321</v>
      </c>
      <c r="P41" s="37" cm="1">
        <f t="array" aca="1" ref="P41" ca="1">DeltaP($R$6,K41,$D$6,$D$3,$D$4,M41)</f>
        <v>-0.31242529560363941</v>
      </c>
      <c r="Q41" s="37" cm="1">
        <f t="array" aca="1" ref="Q41" ca="1">GammaCP($R$6,K41,$D$6,$D$3,$D$4,M41)</f>
        <v>4.4348598478550303E-3</v>
      </c>
      <c r="R41" s="37" cm="1">
        <f t="array" aca="1" ref="R41" ca="1">ThetaP($R$6,K41,$D$6,$D$3,$D$4,M41)</f>
        <v>-11.112197640315681</v>
      </c>
      <c r="S41" s="37" cm="1">
        <f t="array" aca="1" ref="S41" ca="1">Vega($R$6,K41,$D$6,$D$3,$D$4,M41)</f>
        <v>98.813679242644767</v>
      </c>
      <c r="T41" s="37" cm="1">
        <f t="array" aca="1" ref="T41" ca="1">RhoP($R$6,K41,$D$6,$D$3,$D$4,M41)</f>
        <v>-120.38734722821249</v>
      </c>
      <c r="U41" s="68"/>
      <c r="V41" s="71">
        <f t="shared" ca="1" si="1"/>
        <v>192</v>
      </c>
      <c r="W41" s="8">
        <f ca="1"/>
        <v>30</v>
      </c>
      <c r="X41" s="15">
        <f ca="1"/>
        <v>44295.772499999999</v>
      </c>
      <c r="Y41" s="14">
        <f ca="1"/>
        <v>42.5</v>
      </c>
      <c r="Z41" s="14">
        <f ca="1"/>
        <v>42.55</v>
      </c>
      <c r="AA41" s="14">
        <f ca="1"/>
        <v>44</v>
      </c>
      <c r="AB41" s="14">
        <f ca="1"/>
        <v>12</v>
      </c>
      <c r="AC41" s="14">
        <f ca="1"/>
        <v>3421</v>
      </c>
      <c r="AD41" s="14">
        <f ca="1"/>
        <v>0.27820546020507808</v>
      </c>
      <c r="AE41" s="6">
        <f ca="1"/>
        <v>230</v>
      </c>
      <c r="AF41" s="20">
        <f ca="1"/>
        <v>44295.630983796298</v>
      </c>
      <c r="AG41" s="18">
        <f ca="1"/>
        <v>18.600000000000001</v>
      </c>
      <c r="AH41" s="18">
        <f ca="1"/>
        <v>17.45</v>
      </c>
      <c r="AI41" s="18">
        <f ca="1"/>
        <v>18.55</v>
      </c>
      <c r="AJ41" s="18">
        <f ca="1"/>
        <v>4</v>
      </c>
      <c r="AK41" s="18">
        <f ca="1"/>
        <v>3934</v>
      </c>
      <c r="AL41" s="19">
        <f ca="1"/>
        <v>0.28256943023681641</v>
      </c>
      <c r="AM41" s="112">
        <f ca="1">AB41*ABS($R$6-AE41)</f>
        <v>288</v>
      </c>
      <c r="AN41" s="112">
        <f t="shared" ca="1" si="2"/>
        <v>96</v>
      </c>
    </row>
    <row r="42" spans="2:40" x14ac:dyDescent="0.2">
      <c r="B42" s="24" cm="1">
        <f t="array" aca="1" ref="B42" ca="1">RhoC($R$6,K42,$D$6,$D$3,$D$4,I42)</f>
        <v>154.0952593916173</v>
      </c>
      <c r="C42" s="24" cm="1">
        <f t="array" aca="1" ref="C42" ca="1">Vega($R$6,K42,$D$6,$D$3,$D$4,I42)</f>
        <v>101.78812129890197</v>
      </c>
      <c r="D42" s="24" cm="1">
        <f t="array" aca="1" ref="D42" ca="1">ThetaC($R$6,K42,$D$6,$D$3,$D$4,I42)/252</f>
        <v>-4.5010010024558608E-2</v>
      </c>
      <c r="E42" s="24" cm="1">
        <f t="array" aca="1" ref="E42" ca="1">GammaCP($R$6,K42,$D$6,$D$3,$D$4,I42)</f>
        <v>4.6772125150374442E-3</v>
      </c>
      <c r="F42" s="24" cm="1">
        <f t="array" aca="1" ref="F42" ca="1">DeltaC($R$6,K42,$D$6,$D$3,$D$4,I42)</f>
        <v>0.65351215507763116</v>
      </c>
      <c r="G42" s="25" cm="1">
        <f t="array" aca="1" ref="G42" ca="1">BSMCall($R$6,K42,$D$6,$D$3,$D$4,I42)</f>
        <v>39.91251800334031</v>
      </c>
      <c r="H42" s="26">
        <f ca="1"/>
        <v>40</v>
      </c>
      <c r="I42" s="67">
        <f ca="1"/>
        <v>0.27599295791625972</v>
      </c>
      <c r="J42" s="27"/>
      <c r="K42" s="35">
        <f ca="1"/>
        <v>235</v>
      </c>
      <c r="L42" s="28"/>
      <c r="M42" s="65">
        <f ca="1"/>
        <v>0.28021960021972647</v>
      </c>
      <c r="N42" s="73">
        <f ca="1"/>
        <v>20.6</v>
      </c>
      <c r="O42" s="25" cm="1">
        <f t="array" aca="1" ref="O42" ca="1">BSMPut($R$6,K42,$D$6,$D$3,$D$4,M42)</f>
        <v>21.113263685560213</v>
      </c>
      <c r="P42" s="24" cm="1">
        <f t="array" aca="1" ref="P42" ca="1">DeltaP($R$6,K42,$D$6,$D$3,$D$4,M42)</f>
        <v>-0.33673220868351594</v>
      </c>
      <c r="Q42" s="24" cm="1">
        <f t="array" aca="1" ref="Q42" ca="1">GammaCP($R$6,K42,$D$6,$D$3,$D$4,M42)</f>
        <v>4.6097022943809825E-3</v>
      </c>
      <c r="R42" s="24" cm="1">
        <f t="array" aca="1" ref="R42" ca="1">ThetaP($R$6,K42,$D$6,$D$3,$D$4,M42)</f>
        <v>-11.336928570989748</v>
      </c>
      <c r="S42" s="24" cm="1">
        <f t="array" aca="1" ref="S42" ca="1">Vega($R$6,K42,$D$6,$D$3,$D$4,M42)</f>
        <v>101.85524136927354</v>
      </c>
      <c r="T42" s="24" cm="1">
        <f t="array" aca="1" ref="T42" ca="1">RhoP($R$6,K42,$D$6,$D$3,$D$4,M42)</f>
        <v>-130.34005852835304</v>
      </c>
      <c r="U42" s="68"/>
      <c r="V42" s="71">
        <f t="shared" ca="1" si="1"/>
        <v>2755</v>
      </c>
      <c r="W42" s="8">
        <f ca="1"/>
        <v>31</v>
      </c>
      <c r="X42" s="15">
        <f ca="1"/>
        <v>44295.815972222219</v>
      </c>
      <c r="Y42" s="14">
        <f ca="1"/>
        <v>40</v>
      </c>
      <c r="Z42" s="14">
        <f ca="1"/>
        <v>39.5</v>
      </c>
      <c r="AA42" s="14">
        <f ca="1"/>
        <v>40.950000000000003</v>
      </c>
      <c r="AB42" s="14">
        <f ca="1"/>
        <v>56</v>
      </c>
      <c r="AC42" s="14">
        <f ca="1"/>
        <v>1059</v>
      </c>
      <c r="AD42" s="14">
        <f ca="1"/>
        <v>0.27599295791625972</v>
      </c>
      <c r="AE42" s="6">
        <f ca="1"/>
        <v>235</v>
      </c>
      <c r="AF42" s="20">
        <f ca="1"/>
        <v>44287.796099537038</v>
      </c>
      <c r="AG42" s="18">
        <f ca="1"/>
        <v>20.6</v>
      </c>
      <c r="AH42" s="18">
        <f ca="1"/>
        <v>18.899999999999999</v>
      </c>
      <c r="AI42" s="18">
        <f ca="1"/>
        <v>20.5</v>
      </c>
      <c r="AJ42" s="18">
        <f ca="1"/>
        <v>234</v>
      </c>
      <c r="AK42" s="18">
        <f ca="1"/>
        <v>599</v>
      </c>
      <c r="AL42" s="19">
        <f ca="1"/>
        <v>0.28021960021972647</v>
      </c>
      <c r="AM42" s="112">
        <f t="shared" ref="AM42:AM54" ca="1" si="3">AB42*ABS($R$6-AE42)</f>
        <v>1064</v>
      </c>
      <c r="AN42" s="112">
        <f t="shared" ca="1" si="2"/>
        <v>4446</v>
      </c>
    </row>
    <row r="43" spans="2:40" x14ac:dyDescent="0.2">
      <c r="B43" s="37" cm="1">
        <f t="array" aca="1" ref="B43" ca="1">RhoC($R$6,K43,$D$6,$D$3,$D$4,I43)</f>
        <v>149.91670063982997</v>
      </c>
      <c r="C43" s="37" cm="1">
        <f t="array" aca="1" ref="C43" ca="1">Vega($R$6,K43,$D$6,$D$3,$D$4,I43)</f>
        <v>104.46568202099974</v>
      </c>
      <c r="D43" s="37" cm="1">
        <f t="array" aca="1" ref="D43" ca="1">ThetaC($R$6,K43,$D$6,$D$3,$D$4,I43)/252</f>
        <v>-4.570992043538822E-2</v>
      </c>
      <c r="E43" s="37" cm="1">
        <f t="array" aca="1" ref="E43" ca="1">GammaCP($R$6,K43,$D$6,$D$3,$D$4,I43)</f>
        <v>4.8604400568370175E-3</v>
      </c>
      <c r="F43" s="37" cm="1">
        <f t="array" aca="1" ref="F43" ca="1">DeltaC($R$6,K43,$D$6,$D$3,$D$4,I43)</f>
        <v>0.62835257277988299</v>
      </c>
      <c r="G43" s="38" cm="1">
        <f t="array" aca="1" ref="G43" ca="1">BSMCall($R$6,K43,$D$6,$D$3,$D$4,I43)</f>
        <v>36.940849093749108</v>
      </c>
      <c r="H43" s="39">
        <f ca="1"/>
        <v>35.549999999999997</v>
      </c>
      <c r="I43" s="66">
        <f ca="1"/>
        <v>0.27257502334594719</v>
      </c>
      <c r="J43" s="40"/>
      <c r="K43" s="41">
        <f ca="1"/>
        <v>240</v>
      </c>
      <c r="L43" s="42"/>
      <c r="M43" s="64">
        <f ca="1"/>
        <v>0.27620657882690419</v>
      </c>
      <c r="N43" s="72">
        <f ca="1"/>
        <v>24.16</v>
      </c>
      <c r="O43" s="38" cm="1">
        <f t="array" aca="1" ref="O43" ca="1">BSMPut($R$6,K43,$D$6,$D$3,$D$4,M43)</f>
        <v>23.029900093711575</v>
      </c>
      <c r="P43" s="37" cm="1">
        <f t="array" aca="1" ref="P43" ca="1">DeltaP($R$6,K43,$D$6,$D$3,$D$4,M43)</f>
        <v>-0.36151569962491475</v>
      </c>
      <c r="Q43" s="37" cm="1">
        <f t="array" aca="1" ref="Q43" ca="1">GammaCP($R$6,K43,$D$6,$D$3,$D$4,M43)</f>
        <v>4.7974382459485742E-3</v>
      </c>
      <c r="R43" s="37" cm="1">
        <f t="array" aca="1" ref="R43" ca="1">ThetaP($R$6,K43,$D$6,$D$3,$D$4,M43)</f>
        <v>-11.438292152937711</v>
      </c>
      <c r="S43" s="37" cm="1">
        <f t="array" aca="1" ref="S43" ca="1">Vega($R$6,K43,$D$6,$D$3,$D$4,M43)</f>
        <v>104.48535107442414</v>
      </c>
      <c r="T43" s="37" cm="1">
        <f t="array" aca="1" ref="T43" ca="1">RhoP($R$6,K43,$D$6,$D$3,$D$4,M43)</f>
        <v>-140.37638146952543</v>
      </c>
      <c r="U43" s="68"/>
      <c r="V43" s="71">
        <f t="shared" ca="1" si="1"/>
        <v>574</v>
      </c>
      <c r="W43" s="8">
        <f ca="1"/>
        <v>32</v>
      </c>
      <c r="X43" s="15">
        <f ca="1"/>
        <v>44294.618564814817</v>
      </c>
      <c r="Y43" s="14">
        <f ca="1"/>
        <v>35.549999999999997</v>
      </c>
      <c r="Z43" s="14">
        <f ca="1"/>
        <v>36.549999999999997</v>
      </c>
      <c r="AA43" s="14">
        <f ca="1"/>
        <v>37.9</v>
      </c>
      <c r="AB43" s="14">
        <f ca="1"/>
        <v>71</v>
      </c>
      <c r="AC43" s="14">
        <f ca="1"/>
        <v>1756</v>
      </c>
      <c r="AD43" s="14">
        <f ca="1"/>
        <v>0.27257502334594719</v>
      </c>
      <c r="AE43" s="6">
        <f ca="1"/>
        <v>240</v>
      </c>
      <c r="AF43" s="20">
        <f ca="1"/>
        <v>44292.742905092593</v>
      </c>
      <c r="AG43" s="18">
        <f ca="1"/>
        <v>24.16</v>
      </c>
      <c r="AH43" s="18">
        <f ca="1"/>
        <v>21.3</v>
      </c>
      <c r="AI43" s="18">
        <f ca="1"/>
        <v>22.4</v>
      </c>
      <c r="AJ43" s="18">
        <f ca="1"/>
        <v>11</v>
      </c>
      <c r="AK43" s="18">
        <f ca="1"/>
        <v>834</v>
      </c>
      <c r="AL43" s="19">
        <f ca="1"/>
        <v>0.27620657882690419</v>
      </c>
      <c r="AM43" s="112">
        <f t="shared" ca="1" si="3"/>
        <v>994</v>
      </c>
      <c r="AN43" s="112">
        <f t="shared" ca="1" si="2"/>
        <v>154</v>
      </c>
    </row>
    <row r="44" spans="2:40" x14ac:dyDescent="0.2">
      <c r="B44" s="24" cm="1">
        <f t="array" aca="1" ref="B44" ca="1">RhoC($R$6,K44,$D$6,$D$3,$D$4,I44)</f>
        <v>145.1777559272347</v>
      </c>
      <c r="C44" s="24" cm="1">
        <f t="array" aca="1" ref="C44" ca="1">Vega($R$6,K44,$D$6,$D$3,$D$4,I44)</f>
        <v>106.71482380116805</v>
      </c>
      <c r="D44" s="24" cm="1">
        <f t="array" aca="1" ref="D44" ca="1">ThetaC($R$6,K44,$D$6,$D$3,$D$4,I44)/252</f>
        <v>-4.6468318279389305E-2</v>
      </c>
      <c r="E44" s="24" cm="1">
        <f t="array" aca="1" ref="E44" ca="1">GammaCP($R$6,K44,$D$6,$D$3,$D$4,I44)</f>
        <v>4.9972557229184542E-3</v>
      </c>
      <c r="F44" s="24" cm="1">
        <f t="array" aca="1" ref="F44" ca="1">DeltaC($R$6,K44,$D$6,$D$3,$D$4,I44)</f>
        <v>0.60255560617856241</v>
      </c>
      <c r="G44" s="25" cm="1">
        <f t="array" aca="1" ref="G44" ca="1">BSMCall($R$6,K44,$D$6,$D$3,$D$4,I44)</f>
        <v>34.265788102617861</v>
      </c>
      <c r="H44" s="26">
        <f ca="1"/>
        <v>33.799999999999997</v>
      </c>
      <c r="I44" s="67">
        <f ca="1"/>
        <v>0.27082028015136722</v>
      </c>
      <c r="J44" s="27"/>
      <c r="K44" s="35">
        <f ca="1"/>
        <v>245</v>
      </c>
      <c r="L44" s="28"/>
      <c r="M44" s="65">
        <f ca="1"/>
        <v>0.27484856018066411</v>
      </c>
      <c r="N44" s="73">
        <f ca="1"/>
        <v>26.3</v>
      </c>
      <c r="O44" s="25" cm="1">
        <f t="array" aca="1" ref="O44" ca="1">BSMPut($R$6,K44,$D$6,$D$3,$D$4,M44)</f>
        <v>25.344547028071275</v>
      </c>
      <c r="P44" s="24" cm="1">
        <f t="array" aca="1" ref="P44" ca="1">DeltaP($R$6,K44,$D$6,$D$3,$D$4,M44)</f>
        <v>-0.38696844996648166</v>
      </c>
      <c r="Q44" s="24" cm="1">
        <f t="array" aca="1" ref="Q44" ca="1">GammaCP($R$6,K44,$D$6,$D$3,$D$4,M44)</f>
        <v>4.9235091055742121E-3</v>
      </c>
      <c r="R44" s="24" cm="1">
        <f t="array" aca="1" ref="R44" ca="1">ThetaP($R$6,K44,$D$6,$D$3,$D$4,M44)</f>
        <v>-11.596850412633792</v>
      </c>
      <c r="S44" s="24" cm="1">
        <f t="array" aca="1" ref="S44" ca="1">Vega($R$6,K44,$D$6,$D$3,$D$4,M44)</f>
        <v>106.70387867552978</v>
      </c>
      <c r="T44" s="24" cm="1">
        <f t="array" aca="1" ref="T44" ca="1">RhoP($R$6,K44,$D$6,$D$3,$D$4,M44)</f>
        <v>-151.10692060863883</v>
      </c>
      <c r="U44" s="68"/>
      <c r="V44" s="71">
        <f t="shared" ca="1" si="1"/>
        <v>36</v>
      </c>
      <c r="W44" s="8">
        <f ca="1"/>
        <v>33</v>
      </c>
      <c r="X44" s="15">
        <f ca="1"/>
        <v>44295.768495370372</v>
      </c>
      <c r="Y44" s="14">
        <f ca="1"/>
        <v>33.799999999999997</v>
      </c>
      <c r="Z44" s="14">
        <f ca="1"/>
        <v>32.6</v>
      </c>
      <c r="AA44" s="14">
        <f ca="1"/>
        <v>35.15</v>
      </c>
      <c r="AB44" s="14">
        <f ca="1"/>
        <v>2</v>
      </c>
      <c r="AC44" s="14">
        <f ca="1"/>
        <v>766</v>
      </c>
      <c r="AD44" s="14">
        <f ca="1"/>
        <v>0.27082028015136722</v>
      </c>
      <c r="AE44" s="6">
        <f ca="1"/>
        <v>245</v>
      </c>
      <c r="AF44" s="20">
        <f ca="1"/>
        <v>44291.784780092603</v>
      </c>
      <c r="AG44" s="18">
        <f ca="1"/>
        <v>26.3</v>
      </c>
      <c r="AH44" s="18">
        <f ca="1"/>
        <v>23.55</v>
      </c>
      <c r="AI44" s="18">
        <f ca="1"/>
        <v>24.7</v>
      </c>
      <c r="AJ44" s="18">
        <f ca="1"/>
        <v>6</v>
      </c>
      <c r="AK44" s="18">
        <f ca="1"/>
        <v>420</v>
      </c>
      <c r="AL44" s="19">
        <f ca="1"/>
        <v>0.27484856018066411</v>
      </c>
      <c r="AM44" s="112">
        <f t="shared" ca="1" si="3"/>
        <v>18</v>
      </c>
      <c r="AN44" s="112">
        <f t="shared" ca="1" si="2"/>
        <v>54</v>
      </c>
    </row>
    <row r="45" spans="2:40" x14ac:dyDescent="0.2">
      <c r="B45" s="37" cm="1">
        <f t="array" aca="1" ref="B45" ca="1">RhoC($R$6,K45,$D$6,$D$3,$D$4,I45)</f>
        <v>140.17401970290553</v>
      </c>
      <c r="C45" s="37" cm="1">
        <f t="array" aca="1" ref="C45" ca="1">Vega($R$6,K45,$D$6,$D$3,$D$4,I45)</f>
        <v>108.48769572815232</v>
      </c>
      <c r="D45" s="37" cm="1">
        <f t="array" aca="1" ref="D45" ca="1">ThetaC($R$6,K45,$D$6,$D$3,$D$4,I45)/252</f>
        <v>-4.7034497327308189E-2</v>
      </c>
      <c r="E45" s="37" cm="1">
        <f t="array" aca="1" ref="E45" ca="1">GammaCP($R$6,K45,$D$6,$D$3,$D$4,I45)</f>
        <v>5.1096406679740176E-3</v>
      </c>
      <c r="F45" s="37" cm="1">
        <f t="array" aca="1" ref="F45" ca="1">DeltaC($R$6,K45,$D$6,$D$3,$D$4,I45)</f>
        <v>0.57649111591334734</v>
      </c>
      <c r="G45" s="38" cm="1">
        <f t="array" aca="1" ref="G45" ca="1">BSMCall($R$6,K45,$D$6,$D$3,$D$4,I45)</f>
        <v>31.739426502098667</v>
      </c>
      <c r="H45" s="39">
        <f ca="1"/>
        <v>32</v>
      </c>
      <c r="I45" s="66">
        <f ca="1"/>
        <v>0.26926389923095712</v>
      </c>
      <c r="J45" s="40"/>
      <c r="K45" s="41">
        <f ca="1"/>
        <v>250</v>
      </c>
      <c r="L45" s="42"/>
      <c r="M45" s="64">
        <f ca="1"/>
        <v>0.27368890380859368</v>
      </c>
      <c r="N45" s="72">
        <f ca="1"/>
        <v>27.1</v>
      </c>
      <c r="O45" s="38" cm="1">
        <f t="array" aca="1" ref="O45" ca="1">BSMPut($R$6,K45,$D$6,$D$3,$D$4,M45)</f>
        <v>27.807575765075597</v>
      </c>
      <c r="P45" s="37" cm="1">
        <f t="array" aca="1" ref="P45" ca="1">DeltaP($R$6,K45,$D$6,$D$3,$D$4,M45)</f>
        <v>-0.41260054790674305</v>
      </c>
      <c r="Q45" s="37" cm="1">
        <f t="array" aca="1" ref="Q45" ca="1">GammaCP($R$6,K45,$D$6,$D$3,$D$4,M45)</f>
        <v>5.0254682458218715E-3</v>
      </c>
      <c r="R45" s="37" cm="1">
        <f t="array" aca="1" ref="R45" ca="1">ThetaP($R$6,K45,$D$6,$D$3,$D$4,M45)</f>
        <v>-11.707789308165017</v>
      </c>
      <c r="S45" s="37" cm="1">
        <f t="array" aca="1" ref="S45" ca="1">Vega($R$6,K45,$D$6,$D$3,$D$4,M45)</f>
        <v>108.45403586758466</v>
      </c>
      <c r="T45" s="37" cm="1">
        <f t="array" aca="1" ref="T45" ca="1">RhoP($R$6,K45,$D$6,$D$3,$D$4,M45)</f>
        <v>-162.07448968573061</v>
      </c>
      <c r="U45" s="68"/>
      <c r="V45" s="71">
        <f t="shared" ca="1" si="1"/>
        <v>130</v>
      </c>
      <c r="W45" s="8">
        <f ca="1"/>
        <v>34</v>
      </c>
      <c r="X45" s="15">
        <f ca="1"/>
        <v>44295.830543981479</v>
      </c>
      <c r="Y45" s="14">
        <f ca="1"/>
        <v>32</v>
      </c>
      <c r="Z45" s="14">
        <f ca="1"/>
        <v>31.15</v>
      </c>
      <c r="AA45" s="14">
        <f ca="1"/>
        <v>32.549999999999997</v>
      </c>
      <c r="AB45" s="14">
        <f ca="1"/>
        <v>42</v>
      </c>
      <c r="AC45" s="14">
        <f ca="1"/>
        <v>1889</v>
      </c>
      <c r="AD45" s="14">
        <f ca="1"/>
        <v>0.26926389923095712</v>
      </c>
      <c r="AE45" s="6">
        <f ca="1"/>
        <v>250</v>
      </c>
      <c r="AF45" s="20">
        <f ca="1"/>
        <v>44295.776053240741</v>
      </c>
      <c r="AG45" s="18">
        <f ca="1"/>
        <v>27.1</v>
      </c>
      <c r="AH45" s="18">
        <f ca="1"/>
        <v>25.7</v>
      </c>
      <c r="AI45" s="18">
        <f ca="1"/>
        <v>27.15</v>
      </c>
      <c r="AJ45" s="18">
        <f ca="1"/>
        <v>23</v>
      </c>
      <c r="AK45" s="18">
        <f ca="1"/>
        <v>547</v>
      </c>
      <c r="AL45" s="19">
        <f ca="1"/>
        <v>0.27368890380859368</v>
      </c>
      <c r="AM45" s="112">
        <f t="shared" ca="1" si="3"/>
        <v>168</v>
      </c>
      <c r="AN45" s="112">
        <f t="shared" ca="1" si="2"/>
        <v>92</v>
      </c>
    </row>
    <row r="46" spans="2:40" x14ac:dyDescent="0.2">
      <c r="B46" s="24" cm="1">
        <f t="array" aca="1" ref="B46" ca="1">RhoC($R$6,K46,$D$6,$D$3,$D$4,I46)</f>
        <v>134.92893797748638</v>
      </c>
      <c r="C46" s="24" cm="1">
        <f t="array" aca="1" ref="C46" ca="1">Vega($R$6,K46,$D$6,$D$3,$D$4,I46)</f>
        <v>109.76685565842037</v>
      </c>
      <c r="D46" s="24" cm="1">
        <f t="array" aca="1" ref="D46" ca="1">ThetaC($R$6,K46,$D$6,$D$3,$D$4,I46)/252</f>
        <v>-4.7480853999881757E-2</v>
      </c>
      <c r="E46" s="24" cm="1">
        <f t="array" aca="1" ref="E46" ca="1">GammaCP($R$6,K46,$D$6,$D$3,$D$4,I46)</f>
        <v>5.1878205465800704E-3</v>
      </c>
      <c r="F46" s="24" cm="1">
        <f t="array" aca="1" ref="F46" ca="1">DeltaC($R$6,K46,$D$6,$D$3,$D$4,I46)</f>
        <v>0.55041987470282738</v>
      </c>
      <c r="G46" s="25" cm="1">
        <f t="array" aca="1" ref="G46" ca="1">BSMCall($R$6,K46,$D$6,$D$3,$D$4,I46)</f>
        <v>29.408817215104335</v>
      </c>
      <c r="H46" s="26">
        <f ca="1"/>
        <v>28.45</v>
      </c>
      <c r="I46" s="67">
        <f ca="1"/>
        <v>0.26833312240600582</v>
      </c>
      <c r="J46" s="27"/>
      <c r="K46" s="35">
        <f ca="1"/>
        <v>255</v>
      </c>
      <c r="L46" s="28"/>
      <c r="M46" s="65">
        <f ca="1"/>
        <v>0.27088131469726562</v>
      </c>
      <c r="N46" s="73">
        <f ca="1"/>
        <v>29.65</v>
      </c>
      <c r="O46" s="25" cm="1">
        <f t="array" aca="1" ref="O46" ca="1">BSMPut($R$6,K46,$D$6,$D$3,$D$4,M46)</f>
        <v>30.215921474892724</v>
      </c>
      <c r="P46" s="24" cm="1">
        <f t="array" aca="1" ref="P46" ca="1">DeltaP($R$6,K46,$D$6,$D$3,$D$4,M46)</f>
        <v>-0.43866862222773106</v>
      </c>
      <c r="Q46" s="24" cm="1">
        <f t="array" aca="1" ref="Q46" ca="1">GammaCP($R$6,K46,$D$6,$D$3,$D$4,M46)</f>
        <v>5.1379422390396366E-3</v>
      </c>
      <c r="R46" s="24" cm="1">
        <f t="array" aca="1" ref="R46" ca="1">ThetaP($R$6,K46,$D$6,$D$3,$D$4,M46)</f>
        <v>-11.692141062774018</v>
      </c>
      <c r="S46" s="24" cm="1">
        <f t="array" aca="1" ref="S46" ca="1">Vega($R$6,K46,$D$6,$D$3,$D$4,M46)</f>
        <v>109.74386740546478</v>
      </c>
      <c r="T46" s="24" cm="1">
        <f t="array" aca="1" ref="T46" ca="1">RhoP($R$6,K46,$D$6,$D$3,$D$4,M46)</f>
        <v>-173.11056951144232</v>
      </c>
      <c r="U46" s="68"/>
      <c r="V46" s="71">
        <f t="shared" ca="1" si="1"/>
        <v>24</v>
      </c>
      <c r="W46" s="8">
        <f ca="1"/>
        <v>35</v>
      </c>
      <c r="X46" s="15">
        <f ca="1"/>
        <v>44295.78869212963</v>
      </c>
      <c r="Y46" s="14">
        <f ca="1"/>
        <v>28.45</v>
      </c>
      <c r="Z46" s="14">
        <f ca="1"/>
        <v>28.2</v>
      </c>
      <c r="AA46" s="14">
        <f ca="1"/>
        <v>30.15</v>
      </c>
      <c r="AB46" s="14">
        <f ca="1"/>
        <v>7</v>
      </c>
      <c r="AC46" s="14">
        <f ca="1"/>
        <v>419</v>
      </c>
      <c r="AD46" s="14">
        <f ca="1"/>
        <v>0.26833312240600582</v>
      </c>
      <c r="AE46" s="6">
        <f ca="1"/>
        <v>255</v>
      </c>
      <c r="AF46" s="20">
        <f ca="1"/>
        <v>44295.600486111107</v>
      </c>
      <c r="AG46" s="18">
        <f ca="1"/>
        <v>29.65</v>
      </c>
      <c r="AH46" s="18">
        <f ca="1"/>
        <v>27.3</v>
      </c>
      <c r="AI46" s="18">
        <f ca="1"/>
        <v>29.55</v>
      </c>
      <c r="AJ46" s="18">
        <f ca="1"/>
        <v>41</v>
      </c>
      <c r="AK46" s="18">
        <f ca="1"/>
        <v>93</v>
      </c>
      <c r="AL46" s="19">
        <f ca="1"/>
        <v>0.27088131469726562</v>
      </c>
      <c r="AM46" s="112">
        <f t="shared" ca="1" si="3"/>
        <v>7</v>
      </c>
      <c r="AN46" s="112">
        <f t="shared" ca="1" si="2"/>
        <v>41</v>
      </c>
    </row>
    <row r="47" spans="2:40" x14ac:dyDescent="0.2">
      <c r="B47" s="37" cm="1">
        <f t="array" aca="1" ref="B47" ca="1">RhoC($R$6,K47,$D$6,$D$3,$D$4,I47)</f>
        <v>129.62496120182462</v>
      </c>
      <c r="C47" s="37" cm="1">
        <f t="array" aca="1" ref="C47" ca="1">Vega($R$6,K47,$D$6,$D$3,$D$4,I47)</f>
        <v>110.56990941763404</v>
      </c>
      <c r="D47" s="37" cm="1">
        <f t="array" aca="1" ref="D47" ca="1">ThetaC($R$6,K47,$D$6,$D$3,$D$4,I47)/252</f>
        <v>-4.7347353031735789E-2</v>
      </c>
      <c r="E47" s="37" cm="1">
        <f t="array" aca="1" ref="E47" ca="1">GammaCP($R$6,K47,$D$6,$D$3,$D$4,I47)</f>
        <v>5.2849785950782446E-3</v>
      </c>
      <c r="F47" s="37" cm="1">
        <f t="array" aca="1" ref="F47" ca="1">DeltaC($R$6,K47,$D$6,$D$3,$D$4,I47)</f>
        <v>0.52375456161491218</v>
      </c>
      <c r="G47" s="38" cm="1">
        <f t="array" aca="1" ref="G47" ca="1">BSMCall($R$6,K47,$D$6,$D$3,$D$4,I47)</f>
        <v>26.975501153481076</v>
      </c>
      <c r="H47" s="39">
        <f ca="1"/>
        <v>26.41</v>
      </c>
      <c r="I47" s="66">
        <f ca="1"/>
        <v>0.26532717102050779</v>
      </c>
      <c r="J47" s="40"/>
      <c r="K47" s="41">
        <f ca="1"/>
        <v>260</v>
      </c>
      <c r="L47" s="42"/>
      <c r="M47" s="64">
        <f ca="1"/>
        <v>0.26920286468505861</v>
      </c>
      <c r="N47" s="72">
        <f ca="1"/>
        <v>31.94</v>
      </c>
      <c r="O47" s="38" cm="1">
        <f t="array" aca="1" ref="O47" ca="1">BSMPut($R$6,K47,$D$6,$D$3,$D$4,M47)</f>
        <v>32.870673254576985</v>
      </c>
      <c r="P47" s="37" cm="1">
        <f t="array" aca="1" ref="P47" ca="1">DeltaP($R$6,K47,$D$6,$D$3,$D$4,M47)</f>
        <v>-0.46465125213733349</v>
      </c>
      <c r="Q47" s="37" cm="1">
        <f t="array" aca="1" ref="Q47" ca="1">GammaCP($R$6,K47,$D$6,$D$3,$D$4,M47)</f>
        <v>5.207643187339424E-3</v>
      </c>
      <c r="R47" s="37" cm="1">
        <f t="array" aca="1" ref="R47" ca="1">ThetaP($R$6,K47,$D$6,$D$3,$D$4,M47)</f>
        <v>-11.668393289638106</v>
      </c>
      <c r="S47" s="37" cm="1">
        <f t="array" aca="1" ref="S47" ca="1">Vega($R$6,K47,$D$6,$D$3,$D$4,M47)</f>
        <v>110.54341871835958</v>
      </c>
      <c r="T47" s="37" cm="1">
        <f t="array" aca="1" ref="T47" ca="1">RhoP($R$6,K47,$D$6,$D$3,$D$4,M47)</f>
        <v>-184.42128301826068</v>
      </c>
      <c r="U47" s="68"/>
      <c r="V47" s="71">
        <f t="shared" ca="1" si="1"/>
        <v>162</v>
      </c>
      <c r="W47" s="8">
        <f ca="1"/>
        <v>36</v>
      </c>
      <c r="X47" s="15">
        <f ca="1"/>
        <v>44295.690162037034</v>
      </c>
      <c r="Y47" s="14">
        <f ca="1"/>
        <v>26.41</v>
      </c>
      <c r="Z47" s="14">
        <f ca="1"/>
        <v>26.2</v>
      </c>
      <c r="AA47" s="14">
        <f ca="1"/>
        <v>27.65</v>
      </c>
      <c r="AB47" s="14">
        <f ca="1"/>
        <v>43</v>
      </c>
      <c r="AC47" s="14">
        <f ca="1"/>
        <v>1718</v>
      </c>
      <c r="AD47" s="14">
        <f ca="1"/>
        <v>0.26532717102050779</v>
      </c>
      <c r="AE47" s="6">
        <f ca="1"/>
        <v>260</v>
      </c>
      <c r="AF47" s="20">
        <f ca="1"/>
        <v>44295.81523148148</v>
      </c>
      <c r="AG47" s="18">
        <f ca="1"/>
        <v>31.94</v>
      </c>
      <c r="AH47" s="18">
        <f ca="1"/>
        <v>30.75</v>
      </c>
      <c r="AI47" s="18">
        <f ca="1"/>
        <v>32.200000000000003</v>
      </c>
      <c r="AJ47" s="18">
        <f ca="1"/>
        <v>11</v>
      </c>
      <c r="AK47" s="18">
        <f ca="1"/>
        <v>617</v>
      </c>
      <c r="AL47" s="19">
        <f ca="1"/>
        <v>0.26920286468505861</v>
      </c>
      <c r="AM47" s="112">
        <f t="shared" ca="1" si="3"/>
        <v>258</v>
      </c>
      <c r="AN47" s="112">
        <f t="shared" ca="1" si="2"/>
        <v>66</v>
      </c>
    </row>
    <row r="48" spans="2:40" x14ac:dyDescent="0.2">
      <c r="B48" s="24" cm="1">
        <f t="array" aca="1" ref="B48" ca="1">RhoC($R$6,K48,$D$6,$D$3,$D$4,I48)</f>
        <v>124.09537974015497</v>
      </c>
      <c r="C48" s="24" cm="1">
        <f t="array" aca="1" ref="C48" ca="1">Vega($R$6,K48,$D$6,$D$3,$D$4,I48)</f>
        <v>110.86492890143838</v>
      </c>
      <c r="D48" s="24" cm="1">
        <f t="array" aca="1" ref="D48" ca="1">ThetaC($R$6,K48,$D$6,$D$3,$D$4,I48)/252</f>
        <v>-4.7258720128927158E-2</v>
      </c>
      <c r="E48" s="24" cm="1">
        <f t="array" aca="1" ref="E48" ca="1">GammaCP($R$6,K48,$D$6,$D$3,$D$4,I48)</f>
        <v>5.3281894934633445E-3</v>
      </c>
      <c r="F48" s="24" cm="1">
        <f t="array" aca="1" ref="F48" ca="1">DeltaC($R$6,K48,$D$6,$D$3,$D$4,I48)</f>
        <v>0.49752535446308799</v>
      </c>
      <c r="G48" s="25" cm="1">
        <f t="array" aca="1" ref="G48" ca="1">BSMCall($R$6,K48,$D$6,$D$3,$D$4,I48)</f>
        <v>24.837544038061196</v>
      </c>
      <c r="H48" s="26">
        <f ca="1"/>
        <v>23.5</v>
      </c>
      <c r="I48" s="67">
        <f ca="1"/>
        <v>0.26387760055541992</v>
      </c>
      <c r="J48" s="27"/>
      <c r="K48" s="35">
        <f ca="1"/>
        <v>265</v>
      </c>
      <c r="L48" s="28"/>
      <c r="M48" s="65">
        <f ca="1"/>
        <v>0.41580784393310538</v>
      </c>
      <c r="N48" s="73">
        <f ca="1"/>
        <v>47.9</v>
      </c>
      <c r="O48" s="25" cm="1">
        <f t="array" aca="1" ref="O48" ca="1">BSMPut($R$6,K48,$D$6,$D$3,$D$4,M48)</f>
        <v>52.023949399796294</v>
      </c>
      <c r="P48" s="24" cm="1">
        <f t="array" aca="1" ref="P48" ca="1">DeltaP($R$6,K48,$D$6,$D$3,$D$4,M48)</f>
        <v>-0.43910977117073235</v>
      </c>
      <c r="Q48" s="24" cm="1">
        <f t="array" aca="1" ref="Q48" ca="1">GammaCP($R$6,K48,$D$6,$D$3,$D$4,M48)</f>
        <v>3.347690335963118E-3</v>
      </c>
      <c r="R48" s="24" cm="1">
        <f t="array" aca="1" ref="R48" ca="1">ThetaP($R$6,K48,$D$6,$D$3,$D$4,M48)</f>
        <v>-17.983480865443944</v>
      </c>
      <c r="S48" s="24" cm="1">
        <f t="array" aca="1" ref="S48" ca="1">Vega($R$6,K48,$D$6,$D$3,$D$4,M48)</f>
        <v>109.76147914422165</v>
      </c>
      <c r="T48" s="24" cm="1">
        <f t="array" aca="1" ref="T48" ca="1">RhoP($R$6,K48,$D$6,$D$3,$D$4,M48)</f>
        <v>-199.90143176129664</v>
      </c>
      <c r="U48" s="68"/>
      <c r="V48" s="71">
        <f t="shared" ca="1" si="1"/>
        <v>27.5</v>
      </c>
      <c r="W48" s="8">
        <f ca="1"/>
        <v>37</v>
      </c>
      <c r="X48" s="15">
        <f ca="1"/>
        <v>44295.5625462963</v>
      </c>
      <c r="Y48" s="14">
        <f ca="1"/>
        <v>23.5</v>
      </c>
      <c r="Z48" s="14">
        <f ca="1"/>
        <v>24.05</v>
      </c>
      <c r="AA48" s="14">
        <f ca="1"/>
        <v>25.45</v>
      </c>
      <c r="AB48" s="14">
        <f ca="1"/>
        <v>1</v>
      </c>
      <c r="AC48" s="14">
        <f ca="1"/>
        <v>335</v>
      </c>
      <c r="AD48" s="14">
        <f ca="1"/>
        <v>0.26387760055541992</v>
      </c>
      <c r="AE48" s="6">
        <f ca="1"/>
        <v>265</v>
      </c>
      <c r="AF48" s="20">
        <f ca="1"/>
        <v>44237.655856481477</v>
      </c>
      <c r="AG48" s="18">
        <f ca="1"/>
        <v>47.9</v>
      </c>
      <c r="AH48" s="18">
        <f ca="1"/>
        <v>47.5</v>
      </c>
      <c r="AI48" s="18">
        <f ca="1"/>
        <v>51.4</v>
      </c>
      <c r="AJ48" s="18">
        <f ca="1"/>
        <v>4</v>
      </c>
      <c r="AK48" s="18">
        <f ca="1"/>
        <v>144</v>
      </c>
      <c r="AL48" s="19">
        <f ca="1"/>
        <v>0.41580784393310538</v>
      </c>
      <c r="AM48" s="112">
        <f t="shared" ca="1" si="3"/>
        <v>11</v>
      </c>
      <c r="AN48" s="112">
        <f t="shared" ca="1" si="2"/>
        <v>44</v>
      </c>
    </row>
    <row r="49" spans="2:40" x14ac:dyDescent="0.2">
      <c r="B49" s="37" cm="1">
        <f t="array" aca="1" ref="B49" ca="1">RhoC($R$6,K49,$D$6,$D$3,$D$4,I49)</f>
        <v>118.45542034992597</v>
      </c>
      <c r="C49" s="37" cm="1">
        <f t="array" aca="1" ref="C49" ca="1">Vega($R$6,K49,$D$6,$D$3,$D$4,I49)</f>
        <v>110.6676470504447</v>
      </c>
      <c r="D49" s="37" cm="1">
        <f t="array" aca="1" ref="D49" ca="1">ThetaC($R$6,K49,$D$6,$D$3,$D$4,I49)/252</f>
        <v>-4.6836194277120317E-2</v>
      </c>
      <c r="E49" s="37" cm="1">
        <f t="array" aca="1" ref="E49" ca="1">GammaCP($R$6,K49,$D$6,$D$3,$D$4,I49)</f>
        <v>5.361804288331792E-3</v>
      </c>
      <c r="F49" s="37" cm="1">
        <f t="array" aca="1" ref="F49" ca="1">DeltaC($R$6,K49,$D$6,$D$3,$D$4,I49)</f>
        <v>0.47112917791836711</v>
      </c>
      <c r="G49" s="38" cm="1">
        <f t="array" aca="1" ref="G49" ca="1">BSMCall($R$6,K49,$D$6,$D$3,$D$4,I49)</f>
        <v>22.747487078602035</v>
      </c>
      <c r="H49" s="39">
        <f ca="1"/>
        <v>22.2</v>
      </c>
      <c r="I49" s="66">
        <f ca="1"/>
        <v>0.26175665008544918</v>
      </c>
      <c r="J49" s="40"/>
      <c r="K49" s="41">
        <f ca="1"/>
        <v>270</v>
      </c>
      <c r="L49" s="42"/>
      <c r="M49" s="64">
        <f ca="1"/>
        <v>0.26609010284423829</v>
      </c>
      <c r="N49" s="72">
        <f ca="1"/>
        <v>45.03</v>
      </c>
      <c r="O49" s="38" cm="1">
        <f t="array" aca="1" ref="O49" ca="1">BSMPut($R$6,K49,$D$6,$D$3,$D$4,M49)</f>
        <v>38.572351548417458</v>
      </c>
      <c r="P49" s="37" cm="1">
        <f t="array" aca="1" ref="P49" ca="1">DeltaP($R$6,K49,$D$6,$D$3,$D$4,M49)</f>
        <v>-0.51627719915757042</v>
      </c>
      <c r="Q49" s="37" cm="1">
        <f t="array" aca="1" ref="Q49" ca="1">GammaCP($R$6,K49,$D$6,$D$3,$D$4,M49)</f>
        <v>5.2762130337642068E-3</v>
      </c>
      <c r="R49" s="37" cm="1">
        <f t="array" aca="1" ref="R49" ca="1">ThetaP($R$6,K49,$D$6,$D$3,$D$4,M49)</f>
        <v>-11.4684116089566</v>
      </c>
      <c r="S49" s="37" cm="1">
        <f t="array" aca="1" ref="S49" ca="1">Vega($R$6,K49,$D$6,$D$3,$D$4,M49)</f>
        <v>110.70392993824635</v>
      </c>
      <c r="T49" s="37" cm="1">
        <f t="array" aca="1" ref="T49" ca="1">RhoP($R$6,K49,$D$6,$D$3,$D$4,M49)</f>
        <v>-207.41669209930683</v>
      </c>
      <c r="U49" s="68"/>
      <c r="V49" s="71">
        <f t="shared" ca="1" si="1"/>
        <v>336</v>
      </c>
      <c r="W49" s="8">
        <f ca="1"/>
        <v>38</v>
      </c>
      <c r="X49" s="15">
        <f ca="1"/>
        <v>44295.606527777767</v>
      </c>
      <c r="Y49" s="14">
        <f ca="1"/>
        <v>22.2</v>
      </c>
      <c r="Z49" s="14">
        <f ca="1"/>
        <v>22.05</v>
      </c>
      <c r="AA49" s="14">
        <f ca="1"/>
        <v>23.3</v>
      </c>
      <c r="AB49" s="14">
        <f ca="1"/>
        <v>41</v>
      </c>
      <c r="AC49" s="14">
        <f ca="1"/>
        <v>2460</v>
      </c>
      <c r="AD49" s="14">
        <f ca="1"/>
        <v>0.26175665008544918</v>
      </c>
      <c r="AE49" s="6">
        <f ca="1"/>
        <v>270</v>
      </c>
      <c r="AF49" s="20">
        <f ca="1"/>
        <v>44287.771793981483</v>
      </c>
      <c r="AG49" s="18">
        <f ca="1"/>
        <v>45.03</v>
      </c>
      <c r="AH49" s="18">
        <f ca="1"/>
        <v>36.35</v>
      </c>
      <c r="AI49" s="18">
        <f ca="1"/>
        <v>37.9</v>
      </c>
      <c r="AJ49" s="18">
        <f ca="1"/>
        <v>1</v>
      </c>
      <c r="AK49" s="18">
        <f ca="1"/>
        <v>4011</v>
      </c>
      <c r="AL49" s="19">
        <f ca="1"/>
        <v>0.26609010284423829</v>
      </c>
      <c r="AM49" s="112">
        <f t="shared" ca="1" si="3"/>
        <v>656</v>
      </c>
      <c r="AN49" s="112">
        <f t="shared" ca="1" si="2"/>
        <v>16</v>
      </c>
    </row>
    <row r="50" spans="2:40" x14ac:dyDescent="0.2">
      <c r="B50" s="24" cm="1">
        <f t="array" aca="1" ref="B50" ca="1">RhoC($R$6,K50,$D$6,$D$3,$D$4,I50)</f>
        <v>112.75640299870108</v>
      </c>
      <c r="C50" s="24" cm="1">
        <f t="array" aca="1" ref="C50" ca="1">Vega($R$6,K50,$D$6,$D$3,$D$4,I50)</f>
        <v>109.99437732771808</v>
      </c>
      <c r="D50" s="24" cm="1">
        <f t="array" aca="1" ref="D50" ca="1">ThetaC($R$6,K50,$D$6,$D$3,$D$4,I50)/252</f>
        <v>-4.6330113720827355E-2</v>
      </c>
      <c r="E50" s="24" cm="1">
        <f t="array" aca="1" ref="E50" ca="1">GammaCP($R$6,K50,$D$6,$D$3,$D$4,I50)</f>
        <v>5.3585471250801346E-3</v>
      </c>
      <c r="F50" s="24" cm="1">
        <f t="array" aca="1" ref="F50" ca="1">DeltaC($R$6,K50,$D$6,$D$3,$D$4,I50)</f>
        <v>0.44531427594038703</v>
      </c>
      <c r="G50" s="25" cm="1">
        <f t="array" aca="1" ref="G50" ca="1">BSMCall($R$6,K50,$D$6,$D$3,$D$4,I50)</f>
        <v>20.853394633663967</v>
      </c>
      <c r="H50" s="26">
        <f ca="1"/>
        <v>20.25</v>
      </c>
      <c r="I50" s="67">
        <f ca="1"/>
        <v>0.26032233825683587</v>
      </c>
      <c r="J50" s="27"/>
      <c r="K50" s="35">
        <f ca="1"/>
        <v>275</v>
      </c>
      <c r="L50" s="28"/>
      <c r="M50" s="65">
        <f ca="1"/>
        <v>0.2646863082885742</v>
      </c>
      <c r="N50" s="73">
        <f ca="1"/>
        <v>41.75</v>
      </c>
      <c r="O50" s="25" cm="1">
        <f t="array" aca="1" ref="O50" ca="1">BSMPut($R$6,K50,$D$6,$D$3,$D$4,M50)</f>
        <v>41.618083684951529</v>
      </c>
      <c r="P50" s="24" cm="1">
        <f t="array" aca="1" ref="P50" ca="1">DeltaP($R$6,K50,$D$6,$D$3,$D$4,M50)</f>
        <v>-0.5416632468361734</v>
      </c>
      <c r="Q50" s="24" cm="1">
        <f t="array" aca="1" ref="Q50" ca="1">GammaCP($R$6,K50,$D$6,$D$3,$D$4,M50)</f>
        <v>5.2746219545985757E-3</v>
      </c>
      <c r="R50" s="24" cm="1">
        <f t="array" aca="1" ref="R50" ca="1">ThetaP($R$6,K50,$D$6,$D$3,$D$4,M50)</f>
        <v>-11.297870175142517</v>
      </c>
      <c r="S50" s="24" cm="1">
        <f t="array" aca="1" ref="S50" ca="1">Vega($R$6,K50,$D$6,$D$3,$D$4,M50)</f>
        <v>110.08668885813358</v>
      </c>
      <c r="T50" s="24" cm="1">
        <f t="array" aca="1" ref="T50" ca="1">RhoP($R$6,K50,$D$6,$D$3,$D$4,M50)</f>
        <v>-219.02006106412099</v>
      </c>
      <c r="U50" s="68"/>
      <c r="V50" s="71">
        <f t="shared" ca="1" si="1"/>
        <v>798</v>
      </c>
      <c r="W50" s="8">
        <f ca="1"/>
        <v>39</v>
      </c>
      <c r="X50" s="15">
        <f ca="1"/>
        <v>44295.804166666669</v>
      </c>
      <c r="Y50" s="14">
        <f ca="1"/>
        <v>20.25</v>
      </c>
      <c r="Z50" s="14">
        <f ca="1"/>
        <v>20.149999999999999</v>
      </c>
      <c r="AA50" s="14">
        <f ca="1"/>
        <v>21.35</v>
      </c>
      <c r="AB50" s="14">
        <f ca="1"/>
        <v>44</v>
      </c>
      <c r="AC50" s="14">
        <f ca="1"/>
        <v>192</v>
      </c>
      <c r="AD50" s="14">
        <f ca="1"/>
        <v>0.26032233825683587</v>
      </c>
      <c r="AE50" s="6">
        <f ca="1"/>
        <v>275</v>
      </c>
      <c r="AF50" s="20">
        <f ca="1"/>
        <v>44294.820960648147</v>
      </c>
      <c r="AG50" s="18">
        <f ca="1"/>
        <v>41.75</v>
      </c>
      <c r="AH50" s="18">
        <f ca="1"/>
        <v>39.4</v>
      </c>
      <c r="AI50" s="18">
        <f ca="1"/>
        <v>40.950000000000003</v>
      </c>
      <c r="AJ50" s="18">
        <f ca="1"/>
        <v>32</v>
      </c>
      <c r="AK50" s="18">
        <f ca="1"/>
        <v>30</v>
      </c>
      <c r="AL50" s="19">
        <f ca="1"/>
        <v>0.2646863082885742</v>
      </c>
      <c r="AM50" s="112">
        <f t="shared" ca="1" si="3"/>
        <v>924</v>
      </c>
      <c r="AN50" s="112">
        <f t="shared" ca="1" si="2"/>
        <v>672</v>
      </c>
    </row>
    <row r="51" spans="2:40" x14ac:dyDescent="0.2">
      <c r="B51" s="37" cm="1">
        <f t="array" aca="1" ref="B51" ca="1">RhoC($R$6,K51,$D$6,$D$3,$D$4,I51)</f>
        <v>107.09772801616879</v>
      </c>
      <c r="C51" s="37" cm="1">
        <f t="array" aca="1" ref="C51" ca="1">Vega($R$6,K51,$D$6,$D$3,$D$4,I51)</f>
        <v>108.8916251756461</v>
      </c>
      <c r="D51" s="37" cm="1">
        <f t="array" aca="1" ref="D51" ca="1">ThetaC($R$6,K51,$D$6,$D$3,$D$4,I51)/252</f>
        <v>-4.5769705179774633E-2</v>
      </c>
      <c r="E51" s="37" cm="1">
        <f t="array" aca="1" ref="E51" ca="1">GammaCP($R$6,K51,$D$6,$D$3,$D$4,I51)</f>
        <v>5.3191667073644311E-3</v>
      </c>
      <c r="F51" s="37" cm="1">
        <f t="array" aca="1" ref="F51" ca="1">DeltaC($R$6,K51,$D$6,$D$3,$D$4,I51)</f>
        <v>0.42040316827397267</v>
      </c>
      <c r="G51" s="38" cm="1">
        <f t="array" aca="1" ref="G51" ca="1">BSMCall($R$6,K51,$D$6,$D$3,$D$4,I51)</f>
        <v>19.155858124590793</v>
      </c>
      <c r="H51" s="39">
        <f ca="1"/>
        <v>18.399999999999999</v>
      </c>
      <c r="I51" s="66">
        <f ca="1"/>
        <v>0.25962044097900389</v>
      </c>
      <c r="J51" s="40"/>
      <c r="K51" s="41">
        <f ca="1"/>
        <v>280</v>
      </c>
      <c r="L51" s="42"/>
      <c r="M51" s="64">
        <f ca="1"/>
        <v>0.2626569096374512</v>
      </c>
      <c r="N51" s="72">
        <f ca="1"/>
        <v>45.2</v>
      </c>
      <c r="O51" s="38" cm="1">
        <f t="array" aca="1" ref="O51" ca="1">BSMPut($R$6,K51,$D$6,$D$3,$D$4,M51)</f>
        <v>44.710410840254127</v>
      </c>
      <c r="P51" s="37" cm="1">
        <f t="array" aca="1" ref="P51" ca="1">DeltaP($R$6,K51,$D$6,$D$3,$D$4,M51)</f>
        <v>-0.56711632757462416</v>
      </c>
      <c r="Q51" s="37" cm="1">
        <f t="array" aca="1" ref="Q51" ca="1">GammaCP($R$6,K51,$D$6,$D$3,$D$4,M51)</f>
        <v>5.2631102925316088E-3</v>
      </c>
      <c r="R51" s="37" cm="1">
        <f t="array" aca="1" ref="R51" ca="1">ThetaP($R$6,K51,$D$6,$D$3,$D$4,M51)</f>
        <v>-11.049539382669899</v>
      </c>
      <c r="S51" s="37" cm="1">
        <f t="array" aca="1" ref="S51" ca="1">Vega($R$6,K51,$D$6,$D$3,$D$4,M51)</f>
        <v>109.00421604989177</v>
      </c>
      <c r="T51" s="37" cm="1">
        <f t="array" aca="1" ref="T51" ca="1">RhoP($R$6,K51,$D$6,$D$3,$D$4,M51)</f>
        <v>-230.70118853211244</v>
      </c>
      <c r="U51" s="68"/>
      <c r="V51" s="71">
        <f t="shared" ca="1" si="1"/>
        <v>325</v>
      </c>
      <c r="W51" s="8">
        <f ca="1"/>
        <v>40</v>
      </c>
      <c r="X51" s="15">
        <f ca="1"/>
        <v>44295.655659722222</v>
      </c>
      <c r="Y51" s="14">
        <f ca="1"/>
        <v>18.399999999999999</v>
      </c>
      <c r="Z51" s="14">
        <f ca="1"/>
        <v>18.7</v>
      </c>
      <c r="AA51" s="14">
        <f ca="1"/>
        <v>19.600000000000001</v>
      </c>
      <c r="AB51" s="14">
        <f ca="1"/>
        <v>3</v>
      </c>
      <c r="AC51" s="14">
        <f ca="1"/>
        <v>2230</v>
      </c>
      <c r="AD51" s="14">
        <f ca="1"/>
        <v>0.25962044097900389</v>
      </c>
      <c r="AE51" s="6">
        <f ca="1"/>
        <v>280</v>
      </c>
      <c r="AF51" s="20">
        <f ca="1"/>
        <v>44294.692824074067</v>
      </c>
      <c r="AG51" s="18">
        <f ca="1"/>
        <v>45.2</v>
      </c>
      <c r="AH51" s="18">
        <f ca="1"/>
        <v>43</v>
      </c>
      <c r="AI51" s="18">
        <f ca="1"/>
        <v>44.05</v>
      </c>
      <c r="AJ51" s="18">
        <f ca="1"/>
        <v>22</v>
      </c>
      <c r="AK51" s="18">
        <f ca="1"/>
        <v>1459</v>
      </c>
      <c r="AL51" s="19">
        <f ca="1"/>
        <v>0.2626569096374512</v>
      </c>
      <c r="AM51" s="112">
        <f t="shared" ca="1" si="3"/>
        <v>78</v>
      </c>
      <c r="AN51" s="112">
        <f t="shared" ca="1" si="2"/>
        <v>572</v>
      </c>
    </row>
    <row r="52" spans="2:40" x14ac:dyDescent="0.2">
      <c r="B52" s="24" cm="1">
        <f t="array" aca="1" ref="B52" ca="1">RhoC($R$6,K52,$D$6,$D$3,$D$4,I52)</f>
        <v>101.30738516818352</v>
      </c>
      <c r="C52" s="24" cm="1">
        <f t="array" aca="1" ref="C52" ca="1">Vega($R$6,K52,$D$6,$D$3,$D$4,I52)</f>
        <v>107.29366405490097</v>
      </c>
      <c r="D52" s="24" cm="1">
        <f t="array" aca="1" ref="D52" ca="1">ThetaC($R$6,K52,$D$6,$D$3,$D$4,I52)/252</f>
        <v>-4.4736412912047545E-2</v>
      </c>
      <c r="E52" s="24" cm="1">
        <f t="array" aca="1" ref="E52" ca="1">GammaCP($R$6,K52,$D$6,$D$3,$D$4,I52)</f>
        <v>5.2867848462006704E-3</v>
      </c>
      <c r="F52" s="24" cm="1">
        <f t="array" aca="1" ref="F52" ca="1">DeltaC($R$6,K52,$D$6,$D$3,$D$4,I52)</f>
        <v>0.39485460734459227</v>
      </c>
      <c r="G52" s="25" cm="1">
        <f t="array" aca="1" ref="G52" ca="1">BSMCall($R$6,K52,$D$6,$D$3,$D$4,I52)</f>
        <v>17.404138132943586</v>
      </c>
      <c r="H52" s="26">
        <f ca="1"/>
        <v>16.3</v>
      </c>
      <c r="I52" s="67">
        <f ca="1"/>
        <v>0.25737742141723641</v>
      </c>
      <c r="J52" s="27"/>
      <c r="K52" s="35">
        <f ca="1"/>
        <v>285</v>
      </c>
      <c r="L52" s="28"/>
      <c r="M52" s="65">
        <f ca="1"/>
        <v>0.2623059609985352</v>
      </c>
      <c r="N52" s="73">
        <f ca="1"/>
        <v>50.45</v>
      </c>
      <c r="O52" s="25" cm="1">
        <f t="array" aca="1" ref="O52" ca="1">BSMPut($R$6,K52,$D$6,$D$3,$D$4,M52)</f>
        <v>48.096620736518361</v>
      </c>
      <c r="P52" s="24" cm="1">
        <f t="array" aca="1" ref="P52" ca="1">DeltaP($R$6,K52,$D$6,$D$3,$D$4,M52)</f>
        <v>-0.590905211775828</v>
      </c>
      <c r="Q52" s="24" cm="1">
        <f t="array" aca="1" ref="Q52" ca="1">GammaCP($R$6,K52,$D$6,$D$3,$D$4,M52)</f>
        <v>5.2007517089951568E-3</v>
      </c>
      <c r="R52" s="24" cm="1">
        <f t="array" aca="1" ref="R52" ca="1">ThetaP($R$6,K52,$D$6,$D$3,$D$4,M52)</f>
        <v>-10.836930343780976</v>
      </c>
      <c r="S52" s="24" cm="1">
        <f t="array" aca="1" ref="S52" ca="1">Vega($R$6,K52,$D$6,$D$3,$D$4,M52)</f>
        <v>107.56878797690783</v>
      </c>
      <c r="T52" s="24" cm="1">
        <f t="array" aca="1" ref="T52" ca="1">RhoP($R$6,K52,$D$6,$D$3,$D$4,M52)</f>
        <v>-242.22486748281304</v>
      </c>
      <c r="U52" s="68"/>
      <c r="V52" s="71">
        <f t="shared" ca="1" si="1"/>
        <v>806</v>
      </c>
      <c r="W52" s="8">
        <f ca="1"/>
        <v>41</v>
      </c>
      <c r="X52" s="15">
        <f ca="1"/>
        <v>44295.569479166668</v>
      </c>
      <c r="Y52" s="14">
        <f ca="1"/>
        <v>16.3</v>
      </c>
      <c r="Z52" s="14">
        <f ca="1"/>
        <v>17.05</v>
      </c>
      <c r="AA52" s="14">
        <f ca="1"/>
        <v>17.8</v>
      </c>
      <c r="AB52" s="14">
        <f ca="1"/>
        <v>51</v>
      </c>
      <c r="AC52" s="14">
        <f ca="1"/>
        <v>174</v>
      </c>
      <c r="AD52" s="14">
        <f ca="1"/>
        <v>0.25737742141723641</v>
      </c>
      <c r="AE52" s="6">
        <f ca="1"/>
        <v>285</v>
      </c>
      <c r="AF52" s="20">
        <f ca="1"/>
        <v>44292.68209490741</v>
      </c>
      <c r="AG52" s="18">
        <f ca="1"/>
        <v>50.45</v>
      </c>
      <c r="AH52" s="18">
        <f ca="1"/>
        <v>46.35</v>
      </c>
      <c r="AI52" s="18">
        <f ca="1"/>
        <v>47.45</v>
      </c>
      <c r="AJ52" s="18">
        <f ca="1"/>
        <v>1</v>
      </c>
      <c r="AK52" s="18">
        <f ca="1"/>
        <v>20</v>
      </c>
      <c r="AL52" s="19">
        <f ca="1"/>
        <v>0.2623059609985352</v>
      </c>
      <c r="AM52" s="112">
        <f t="shared" ca="1" si="3"/>
        <v>1581</v>
      </c>
      <c r="AN52" s="112">
        <f t="shared" ca="1" si="2"/>
        <v>31</v>
      </c>
    </row>
    <row r="53" spans="2:40" x14ac:dyDescent="0.2">
      <c r="B53" s="37" cm="1">
        <f t="array" aca="1" ref="B53" ca="1">RhoC($R$6,K53,$D$6,$D$3,$D$4,I53)</f>
        <v>95.622614646739152</v>
      </c>
      <c r="C53" s="37" cm="1">
        <f t="array" aca="1" ref="C53" ca="1">Vega($R$6,K53,$D$6,$D$3,$D$4,I53)</f>
        <v>105.31645758998991</v>
      </c>
      <c r="D53" s="37" cm="1">
        <f t="array" aca="1" ref="D53" ca="1">ThetaC($R$6,K53,$D$6,$D$3,$D$4,I53)/252</f>
        <v>-4.3687227005591446E-2</v>
      </c>
      <c r="E53" s="37" cm="1">
        <f t="array" aca="1" ref="E53" ca="1">GammaCP($R$6,K53,$D$6,$D$3,$D$4,I53)</f>
        <v>5.2187524692375829E-3</v>
      </c>
      <c r="F53" s="37" cm="1">
        <f t="array" aca="1" ref="F53" ca="1">DeltaC($R$6,K53,$D$6,$D$3,$D$4,I53)</f>
        <v>0.37041927156573573</v>
      </c>
      <c r="G53" s="38" cm="1">
        <f t="array" aca="1" ref="G53" ca="1">BSMCall($R$6,K53,$D$6,$D$3,$D$4,I53)</f>
        <v>15.848798854799298</v>
      </c>
      <c r="H53" s="39">
        <f ca="1"/>
        <v>14.85</v>
      </c>
      <c r="I53" s="66">
        <f ca="1"/>
        <v>0.25592785095214837</v>
      </c>
      <c r="J53" s="40"/>
      <c r="K53" s="41">
        <f ca="1"/>
        <v>290</v>
      </c>
      <c r="L53" s="42"/>
      <c r="M53" s="64">
        <f ca="1"/>
        <v>0.26096320098876957</v>
      </c>
      <c r="N53" s="72">
        <f ca="1"/>
        <v>68.58</v>
      </c>
      <c r="O53" s="38" cm="1">
        <f t="array" aca="1" ref="O53" ca="1">BSMPut($R$6,K53,$D$6,$D$3,$D$4,M53)</f>
        <v>51.482349883045316</v>
      </c>
      <c r="P53" s="37" cm="1">
        <f t="array" aca="1" ref="P53" ca="1">DeltaP($R$6,K53,$D$6,$D$3,$D$4,M53)</f>
        <v>-0.6148504437627873</v>
      </c>
      <c r="Q53" s="37" cm="1">
        <f t="array" aca="1" ref="Q53" ca="1">GammaCP($R$6,K53,$D$6,$D$3,$D$4,M53)</f>
        <v>5.1369289246301162E-3</v>
      </c>
      <c r="R53" s="37" cm="1">
        <f t="array" aca="1" ref="R53" ca="1">ThetaP($R$6,K53,$D$6,$D$3,$D$4,M53)</f>
        <v>-10.535865800300703</v>
      </c>
      <c r="S53" s="37" cm="1">
        <f t="array" aca="1" ref="S53" ca="1">Vega($R$6,K53,$D$6,$D$3,$D$4,M53)</f>
        <v>105.70482759556648</v>
      </c>
      <c r="T53" s="37" cm="1">
        <f t="array" aca="1" ref="T53" ca="1">RhoP($R$6,K53,$D$6,$D$3,$D$4,M53)</f>
        <v>-253.79649553212403</v>
      </c>
      <c r="U53" s="68"/>
      <c r="V53" s="71">
        <f t="shared" ca="1" si="1"/>
        <v>1818</v>
      </c>
      <c r="W53" s="8">
        <f ca="1"/>
        <v>42</v>
      </c>
      <c r="X53" s="15">
        <f ca="1"/>
        <v>44294.816504629627</v>
      </c>
      <c r="Y53" s="14">
        <f ca="1"/>
        <v>14.85</v>
      </c>
      <c r="Z53" s="14">
        <f ca="1"/>
        <v>15.5</v>
      </c>
      <c r="AA53" s="14">
        <f ca="1"/>
        <v>16.2</v>
      </c>
      <c r="AB53" s="14">
        <f ca="1"/>
        <v>99</v>
      </c>
      <c r="AC53" s="14">
        <f ca="1"/>
        <v>212</v>
      </c>
      <c r="AD53" s="14">
        <f ca="1"/>
        <v>0.25592785095214837</v>
      </c>
      <c r="AE53" s="6">
        <f ca="1"/>
        <v>290</v>
      </c>
      <c r="AF53" s="20">
        <f ca="1"/>
        <v>44277.576944444438</v>
      </c>
      <c r="AG53" s="18">
        <f ca="1"/>
        <v>68.58</v>
      </c>
      <c r="AH53" s="18">
        <f ca="1"/>
        <v>49.4</v>
      </c>
      <c r="AI53" s="18">
        <f ca="1"/>
        <v>50.85</v>
      </c>
      <c r="AJ53" s="18">
        <f ca="1"/>
        <v>2</v>
      </c>
      <c r="AK53" s="18">
        <f ca="1"/>
        <v>39</v>
      </c>
      <c r="AL53" s="19">
        <f ca="1"/>
        <v>0.26096320098876957</v>
      </c>
      <c r="AM53" s="112">
        <f t="shared" ca="1" si="3"/>
        <v>3564</v>
      </c>
      <c r="AN53" s="112">
        <f t="shared" ca="1" si="2"/>
        <v>72</v>
      </c>
    </row>
    <row r="54" spans="2:40" ht="17" thickBot="1" x14ac:dyDescent="0.25">
      <c r="B54" s="24" cm="1">
        <f t="array" aca="1" ref="B54" ca="1">RhoC($R$6,K54,$D$6,$D$3,$D$4,I54)</f>
        <v>90.233063739140434</v>
      </c>
      <c r="C54" s="24" cm="1">
        <f t="array" aca="1" ref="C54" ca="1">Vega($R$6,K54,$D$6,$D$3,$D$4,I54)</f>
        <v>103.09892684882729</v>
      </c>
      <c r="D54" s="24" cm="1">
        <f t="array" aca="1" ref="D54" ca="1">ThetaC($R$6,K54,$D$6,$D$3,$D$4,I54)/252</f>
        <v>-4.2768492630084108E-2</v>
      </c>
      <c r="E54" s="24" cm="1">
        <f t="array" aca="1" ref="E54" ca="1">GammaCP($R$6,K54,$D$6,$D$3,$D$4,I54)</f>
        <v>5.1106952651411488E-3</v>
      </c>
      <c r="F54" s="24" cm="1">
        <f t="array" aca="1" ref="F54" ca="1">DeltaC($R$6,K54,$D$6,$D$3,$D$4,I54)</f>
        <v>0.34790387307525389</v>
      </c>
      <c r="G54" s="25" cm="1">
        <f t="array" aca="1" ref="G54" ca="1">BSMCall($R$6,K54,$D$6,$D$3,$D$4,I54)</f>
        <v>14.539577204909534</v>
      </c>
      <c r="H54" s="26">
        <f ca="1"/>
        <v>13.45</v>
      </c>
      <c r="I54" s="67">
        <f ca="1"/>
        <v>0.25583629913330092</v>
      </c>
      <c r="J54" s="27"/>
      <c r="K54" s="35">
        <f ca="1"/>
        <v>295</v>
      </c>
      <c r="L54" s="28"/>
      <c r="M54" s="65">
        <f ca="1"/>
        <v>1.0000000000000001E-5</v>
      </c>
      <c r="N54" s="73">
        <f ca="1"/>
        <v>59</v>
      </c>
      <c r="O54" s="25" cm="1">
        <f t="array" aca="1" ref="O54" ca="1">BSMPut($R$6,K54,$D$6,$D$3,$D$4,M54)</f>
        <v>40.041519321988943</v>
      </c>
      <c r="P54" s="24" cm="1">
        <f t="array" aca="1" ref="P54" ca="1">DeltaP($R$6,K54,$D$6,$D$3,$D$4,M54)</f>
        <v>-0.98966502213811891</v>
      </c>
      <c r="Q54" s="24" cm="1">
        <f t="array" aca="1" ref="Q54" ca="1">GammaCP($R$6,K54,$D$6,$D$3,$D$4,M54)</f>
        <v>0</v>
      </c>
      <c r="R54" s="24" cm="1">
        <f t="array" aca="1" ref="R54" ca="1">ThetaP($R$6,K54,$D$6,$D$3,$D$4,M54)</f>
        <v>0.7774775666545124</v>
      </c>
      <c r="S54" s="24" cm="1">
        <f t="array" aca="1" ref="S54" ca="1">Vega($R$6,K54,$D$6,$D$3,$D$4,M54)</f>
        <v>0</v>
      </c>
      <c r="T54" s="24" cm="1">
        <f t="array" aca="1" ref="T54" ca="1">RhoP($R$6,K54,$D$6,$D$3,$D$4,M54)</f>
        <v>-356.17103827682377</v>
      </c>
      <c r="U54" s="68"/>
      <c r="V54" s="71">
        <f t="shared" ca="1" si="1"/>
        <v>1722</v>
      </c>
      <c r="W54" s="8">
        <f ca="1"/>
        <v>43</v>
      </c>
      <c r="X54" s="16">
        <f ca="1"/>
        <v>44295.571458333332</v>
      </c>
      <c r="Y54" s="17">
        <f ca="1"/>
        <v>13.45</v>
      </c>
      <c r="Z54" s="17">
        <f ca="1"/>
        <v>13.65</v>
      </c>
      <c r="AA54" s="17">
        <f ca="1"/>
        <v>14.85</v>
      </c>
      <c r="AB54" s="17">
        <f ca="1"/>
        <v>32</v>
      </c>
      <c r="AC54" s="17">
        <f ca="1"/>
        <v>62</v>
      </c>
      <c r="AD54" s="17">
        <f ca="1"/>
        <v>0.25583629913330092</v>
      </c>
      <c r="AE54" s="13">
        <f ca="1"/>
        <v>295</v>
      </c>
      <c r="AF54" s="21">
        <f ca="1"/>
        <v>44292.833287037043</v>
      </c>
      <c r="AG54" s="22">
        <f ca="1"/>
        <v>59</v>
      </c>
      <c r="AH54" s="22">
        <f ca="1"/>
        <v>0</v>
      </c>
      <c r="AI54" s="22">
        <f ca="1"/>
        <v>0</v>
      </c>
      <c r="AJ54" s="22">
        <f ca="1"/>
        <v>52</v>
      </c>
      <c r="AK54" s="22">
        <f ca="1"/>
        <v>0</v>
      </c>
      <c r="AL54" s="23">
        <f ca="1"/>
        <v>1.0000000000000001E-5</v>
      </c>
      <c r="AM54" s="112">
        <f t="shared" ca="1" si="3"/>
        <v>1312</v>
      </c>
      <c r="AN54" s="112">
        <f t="shared" ca="1" si="2"/>
        <v>2132</v>
      </c>
    </row>
    <row r="55" spans="2:40" x14ac:dyDescent="0.2"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</row>
    <row r="56" spans="2:40" x14ac:dyDescent="0.2"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</row>
  </sheetData>
  <mergeCells count="16">
    <mergeCell ref="A1:V1"/>
    <mergeCell ref="R2:S2"/>
    <mergeCell ref="R3:S3"/>
    <mergeCell ref="B6:C6"/>
    <mergeCell ref="B5:C5"/>
    <mergeCell ref="B4:C4"/>
    <mergeCell ref="B3:C3"/>
    <mergeCell ref="B2:C2"/>
    <mergeCell ref="R5:S5"/>
    <mergeCell ref="R6:S6"/>
    <mergeCell ref="J3:L3"/>
    <mergeCell ref="AF9:AL9"/>
    <mergeCell ref="X9:AD9"/>
    <mergeCell ref="J10:L10"/>
    <mergeCell ref="B9:I9"/>
    <mergeCell ref="M9:T9"/>
  </mergeCells>
  <conditionalFormatting sqref="J30:L30">
    <cfRule type="expression" dxfId="2" priority="7">
      <formula>IF($AB$37&gt;100,$B$37:$L$37)</formula>
    </cfRule>
  </conditionalFormatting>
  <conditionalFormatting sqref="O11:T11 O12:O54">
    <cfRule type="expression" dxfId="1" priority="4">
      <formula>_xlfn.IFS(AN11&gt;10,AV11&gt;10)</formula>
    </cfRule>
  </conditionalFormatting>
  <conditionalFormatting sqref="AB11:AB54">
    <cfRule type="colorScale" priority="3">
      <colorScale>
        <cfvo type="min"/>
        <cfvo type="max"/>
        <color theme="4" tint="0.59999389629810485"/>
        <color rgb="FF0070C0"/>
      </colorScale>
    </cfRule>
  </conditionalFormatting>
  <conditionalFormatting sqref="AJ11:AJ54">
    <cfRule type="colorScale" priority="2">
      <colorScale>
        <cfvo type="min"/>
        <cfvo type="max"/>
        <color rgb="FFF17877"/>
        <color rgb="FFFF0000"/>
      </colorScale>
    </cfRule>
  </conditionalFormatting>
  <conditionalFormatting sqref="V10:V54">
    <cfRule type="colorScale" priority="1">
      <colorScale>
        <cfvo type="min"/>
        <cfvo type="max"/>
        <color theme="5" tint="0.79998168889431442"/>
        <color theme="5" tint="-0.249977111117893"/>
      </colorScale>
    </cfRule>
  </conditionalFormatting>
  <conditionalFormatting sqref="B11:N11">
    <cfRule type="expression" dxfId="0" priority="8">
      <formula>_xlfn.IFS(AB11&gt;10,AJ11&gt;10)</formula>
    </cfRule>
  </conditionalFormatting>
  <dataValidations count="2">
    <dataValidation type="list" allowBlank="1" showInputMessage="1" showErrorMessage="1" sqref="K4" xr:uid="{D119B826-9640-D242-B042-359E7FD2C8C6}">
      <formula1>$A$9:$A$10</formula1>
    </dataValidation>
    <dataValidation type="list" allowBlank="1" showInputMessage="1" showErrorMessage="1" sqref="K5" xr:uid="{83CABFB8-F702-3849-9167-63D016CC1711}">
      <formula1>$K$11:$K$54</formula1>
    </dataValidation>
  </dataValidations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15" r:id="rId4" name="Button 67">
              <controlPr defaultSize="0" print="0" autoFill="0" autoPict="0" macro="[1]!get_maturities" altText="Load Maturities_x000a_">
                <anchor moveWithCells="1" sizeWithCells="1">
                  <from>
                    <xdr:col>4</xdr:col>
                    <xdr:colOff>203200</xdr:colOff>
                    <xdr:row>0</xdr:row>
                    <xdr:rowOff>190500</xdr:rowOff>
                  </from>
                  <to>
                    <xdr:col>5</xdr:col>
                    <xdr:colOff>368300</xdr:colOff>
                    <xdr:row>3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FDC28F-C3C5-2344-BA6A-48A2A3D5B702}">
          <x14:formula1>
            <xm:f>Maturities!$A$2:$A$27</xm:f>
          </x14:formula1>
          <xm:sqref>D2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8DC80-8B64-7447-860C-99BA7B0D4430}">
  <sheetPr codeName="Sheet3"/>
  <dimension ref="A1:AD204"/>
  <sheetViews>
    <sheetView showGridLines="0" tabSelected="1" workbookViewId="0">
      <selection activeCell="H3" sqref="H3:I3"/>
    </sheetView>
  </sheetViews>
  <sheetFormatPr baseColWidth="10" defaultRowHeight="16" x14ac:dyDescent="0.2"/>
  <cols>
    <col min="1" max="1" width="6.5" style="2" customWidth="1"/>
    <col min="2" max="2" width="5.5" customWidth="1"/>
    <col min="3" max="3" width="11.33203125" customWidth="1"/>
    <col min="4" max="4" width="11.1640625" customWidth="1"/>
    <col min="5" max="5" width="11.5" customWidth="1"/>
    <col min="6" max="9" width="10.83203125" customWidth="1"/>
  </cols>
  <sheetData>
    <row r="1" spans="1:29" s="2" customFormat="1" ht="24" x14ac:dyDescent="0.3">
      <c r="B1" s="68"/>
      <c r="C1" s="68"/>
      <c r="D1" s="68"/>
      <c r="E1" s="108" t="s">
        <v>50</v>
      </c>
      <c r="F1" s="108"/>
      <c r="G1" s="108"/>
      <c r="H1" s="108"/>
      <c r="I1" s="108"/>
      <c r="J1" s="108"/>
      <c r="K1" s="108"/>
    </row>
    <row r="2" spans="1:29" x14ac:dyDescent="0.2">
      <c r="C2" t="str">
        <f>TEXT(C4,"yyyy-mm-dd")</f>
        <v>2021-04-30</v>
      </c>
      <c r="D2" s="2" t="str">
        <f t="shared" ref="D2:O2" si="0">TEXT(D4,"yyyy-mm-dd")</f>
        <v>2021-05-07</v>
      </c>
      <c r="E2" s="2" t="str">
        <f t="shared" si="0"/>
        <v>2021-05-14</v>
      </c>
      <c r="F2" s="2" t="str">
        <f t="shared" si="0"/>
        <v>2021-05-21</v>
      </c>
      <c r="G2" s="2" t="str">
        <f t="shared" si="0"/>
        <v>2021-05-28</v>
      </c>
      <c r="H2" s="2" t="str">
        <f t="shared" si="0"/>
        <v>2021-06-18</v>
      </c>
      <c r="I2" s="2" t="str">
        <f t="shared" si="0"/>
        <v>2021-07-16</v>
      </c>
      <c r="J2" s="2" t="str">
        <f t="shared" si="0"/>
        <v>2021-08-20</v>
      </c>
      <c r="K2" s="2" t="str">
        <f t="shared" si="0"/>
        <v>2021-09-17</v>
      </c>
      <c r="L2" s="2" t="str">
        <f t="shared" si="0"/>
        <v>2021-10-15</v>
      </c>
      <c r="M2" s="2" t="str">
        <f t="shared" si="0"/>
        <v>2022-01-21</v>
      </c>
      <c r="N2" s="2" t="str">
        <f t="shared" si="0"/>
        <v>2022-03-18</v>
      </c>
      <c r="O2" s="2" t="str">
        <f t="shared" si="0"/>
        <v>2022-06-17</v>
      </c>
    </row>
    <row r="3" spans="1:29" s="2" customFormat="1" x14ac:dyDescent="0.2">
      <c r="H3" s="109" t="s">
        <v>63</v>
      </c>
      <c r="I3" s="109"/>
    </row>
    <row r="4" spans="1:29" x14ac:dyDescent="0.2">
      <c r="B4" s="68"/>
      <c r="C4" s="77" cm="1">
        <f t="array" ref="C4:O4">TRANSPOSE(Maturities!A3:A15)</f>
        <v>44316</v>
      </c>
      <c r="D4" s="77">
        <v>44323</v>
      </c>
      <c r="E4" s="77">
        <v>44330</v>
      </c>
      <c r="F4" s="77">
        <v>44337</v>
      </c>
      <c r="G4" s="77">
        <v>44344</v>
      </c>
      <c r="H4" s="77">
        <v>44365</v>
      </c>
      <c r="I4" s="77">
        <v>44393</v>
      </c>
      <c r="J4" s="77">
        <v>44428</v>
      </c>
      <c r="K4" s="77">
        <v>44456</v>
      </c>
      <c r="L4" s="77">
        <v>44484</v>
      </c>
      <c r="M4" s="77">
        <v>44582</v>
      </c>
      <c r="N4" s="77">
        <v>44638</v>
      </c>
      <c r="O4" s="77">
        <v>44729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x14ac:dyDescent="0.2">
      <c r="B5" s="78">
        <v>200</v>
      </c>
      <c r="C5" s="75" cm="1">
        <f t="array" aca="1" ref="C5" ca="1">IF(BSPutImVol(Greeks!$R$6,VolatilitySurface!$B5,Greeks!$D$3,Greeks!$D$4,VolatilitySurface!C$26,VLOOKUP($B5,INDIRECT("'"&amp;C$2&amp;"'!I2:K45"),3))&gt;0.001,BSPutImVol(Greeks!$R$6,VolatilitySurface!$B5,Greeks!$D$3,Greeks!$D$4,VolatilitySurface!C$26,VLOOKUP($B5,INDIRECT("'"&amp;C$2&amp;"'!I2:K45"),3)),"")</f>
        <v>0.51570814102888107</v>
      </c>
      <c r="D5" s="75" cm="1">
        <f t="array" aca="1" ref="D5" ca="1">IF(BSPutImVol(Greeks!$R$6,VolatilitySurface!$B5,Greeks!$D$3,Greeks!$D$4,VolatilitySurface!D$26,VLOOKUP($B5,INDIRECT("'"&amp;D$2&amp;"'!I2:K45"),3))&gt;0.001,BSPutImVol(Greeks!$R$6,VolatilitySurface!$B5,Greeks!$D$3,Greeks!$D$4,VolatilitySurface!D$26,VLOOKUP($B5,INDIRECT("'"&amp;D$2&amp;"'!I2:K45"),3)),"")</f>
        <v>0.47766435891389847</v>
      </c>
      <c r="E5" s="75" t="e" cm="1">
        <f t="array" aca="1" ref="E5" ca="1">IF(BSPutImVol(Greeks!$R$6,VolatilitySurface!$B5,Greeks!$D$3,Greeks!$D$4,VolatilitySurface!E$26,VLOOKUP($B5,INDIRECT("'"&amp;E$2&amp;"'!I2:K45"),3))&gt;0.001,BSPutImVol(Greeks!$R$6,VolatilitySurface!$B5,Greeks!$D$3,Greeks!$D$4,VolatilitySurface!E$26,VLOOKUP($B5,INDIRECT("'"&amp;E$2&amp;"'!I2:K45"),3)),"")</f>
        <v>#VALUE!</v>
      </c>
      <c r="F5" s="75" cm="1">
        <f t="array" aca="1" ref="F5" ca="1">IF(BSPutImVol(Greeks!$R$6,VolatilitySurface!$B5,Greeks!$D$3,Greeks!$D$4,VolatilitySurface!F$26,VLOOKUP($B5,INDIRECT("'"&amp;F$2&amp;"'!I2:K45"),3))&gt;0.001,BSPutImVol(Greeks!$R$6,VolatilitySurface!$B5,Greeks!$D$3,Greeks!$D$4,VolatilitySurface!F$26,VLOOKUP($B5,INDIRECT("'"&amp;F$2&amp;"'!I2:K45"),3)),"")</f>
        <v>0.41804824024438858</v>
      </c>
      <c r="G5" s="75" t="e" cm="1">
        <f t="array" aca="1" ref="G5" ca="1">IF(BSPutImVol(Greeks!$R$6,VolatilitySurface!$B5,Greeks!$D$3,Greeks!$D$4,VolatilitySurface!G$26,VLOOKUP($B5,INDIRECT("'"&amp;G$2&amp;"'!I2:K45"),3))&gt;0.001,BSPutImVol(Greeks!$R$6,VolatilitySurface!$B5,Greeks!$D$3,Greeks!$D$4,VolatilitySurface!G$26,VLOOKUP($B5,INDIRECT("'"&amp;G$2&amp;"'!I2:K45"),3)),"")</f>
        <v>#VALUE!</v>
      </c>
      <c r="H5" s="75" cm="1">
        <f t="array" aca="1" ref="H5" ca="1">IF(BSPutImVol(Greeks!$R$6,VolatilitySurface!$B5,Greeks!$D$3,Greeks!$D$4,VolatilitySurface!H$26,VLOOKUP($B5,INDIRECT("'"&amp;H$2&amp;"'!I2:K45"),3))&gt;0.001,BSPutImVol(Greeks!$R$6,VolatilitySurface!$B5,Greeks!$D$3,Greeks!$D$4,VolatilitySurface!H$26,VLOOKUP($B5,INDIRECT("'"&amp;H$2&amp;"'!I2:K45"),3)),"")</f>
        <v>0.35583566874265671</v>
      </c>
      <c r="I5" s="75" cm="1">
        <f t="array" aca="1" ref="I5" ca="1">IF(BSPutImVol(Greeks!$R$6,VolatilitySurface!$B5,Greeks!$D$3,Greeks!$D$4,VolatilitySurface!I$26,VLOOKUP($B5,INDIRECT("'"&amp;I$2&amp;"'!I2:K45"),3))&gt;0.001,BSPutImVol(Greeks!$R$6,VolatilitySurface!$B5,Greeks!$D$3,Greeks!$D$4,VolatilitySurface!I$26,VLOOKUP($B5,INDIRECT("'"&amp;I$2&amp;"'!I2:K45"),3)),"")</f>
        <v>0.32944347709417343</v>
      </c>
      <c r="J5" s="75" cm="1">
        <f t="array" aca="1" ref="J5" ca="1">IF(BSPutImVol(Greeks!$R$6,VolatilitySurface!$B5,Greeks!$D$3,Greeks!$D$4,VolatilitySurface!J$26,VLOOKUP($B5,INDIRECT("'"&amp;J$2&amp;"'!I2:K45"),3))&gt;0.001,BSPutImVol(Greeks!$R$6,VolatilitySurface!$B5,Greeks!$D$3,Greeks!$D$4,VolatilitySurface!J$26,VLOOKUP($B5,INDIRECT("'"&amp;J$2&amp;"'!I2:K45"),3)),"")</f>
        <v>0.31944852322340012</v>
      </c>
      <c r="K5" s="75" cm="1">
        <f t="array" aca="1" ref="K5" ca="1">IF(BSPutImVol(Greeks!$R$6,VolatilitySurface!$B5,Greeks!$D$3,Greeks!$D$4,VolatilitySurface!K$26,VLOOKUP($B5,INDIRECT("'"&amp;K$2&amp;"'!I2:K45"),3))&gt;0.001,BSPutImVol(Greeks!$R$6,VolatilitySurface!$B5,Greeks!$D$3,Greeks!$D$4,VolatilitySurface!K$26,VLOOKUP($B5,INDIRECT("'"&amp;K$2&amp;"'!I2:K45"),3)),"")</f>
        <v>0.31012158840894699</v>
      </c>
      <c r="L5" s="75" cm="1">
        <f t="array" aca="1" ref="L5" ca="1">IF(BSPutImVol(Greeks!$R$6,VolatilitySurface!$B5,Greeks!$D$3,Greeks!$D$4,VolatilitySurface!L$26,VLOOKUP($B5,INDIRECT("'"&amp;L$2&amp;"'!I2:K45"),3))&gt;0.001,BSPutImVol(Greeks!$R$6,VolatilitySurface!$B5,Greeks!$D$3,Greeks!$D$4,VolatilitySurface!L$26,VLOOKUP($B5,INDIRECT("'"&amp;L$2&amp;"'!I2:K45"),3)),"")</f>
        <v>0.30729275196790695</v>
      </c>
      <c r="M5" s="75" cm="1">
        <f t="array" aca="1" ref="M5" ca="1">IF(BSPutImVol(Greeks!$R$6,VolatilitySurface!$B5,Greeks!$D$3,Greeks!$D$4,VolatilitySurface!M$26,VLOOKUP($B5,INDIRECT("'"&amp;M$2&amp;"'!I2:K45"),3))&gt;0.001,BSPutImVol(Greeks!$R$6,VolatilitySurface!$B5,Greeks!$D$3,Greeks!$D$4,VolatilitySurface!M$26,VLOOKUP($B5,INDIRECT("'"&amp;M$2&amp;"'!I2:K45"),3)),"")</f>
        <v>0.29994558542966843</v>
      </c>
      <c r="N5" s="75" cm="1">
        <f t="array" aca="1" ref="N5" ca="1">IF(BSPutImVol(Greeks!$R$6,VolatilitySurface!$B5,Greeks!$D$3,Greeks!$D$4,VolatilitySurface!N$26,VLOOKUP($B5,INDIRECT("'"&amp;N$2&amp;"'!I2:K45"),3))&gt;0.001,BSPutImVol(Greeks!$R$6,VolatilitySurface!$B5,Greeks!$D$3,Greeks!$D$4,VolatilitySurface!N$26,VLOOKUP($B5,INDIRECT("'"&amp;N$2&amp;"'!I2:K45"),3)),"")</f>
        <v>0.31167168170213699</v>
      </c>
      <c r="O5" s="75" cm="1">
        <f t="array" aca="1" ref="O5" ca="1">IF(BSPutImVol(Greeks!$R$6,VolatilitySurface!$B5,Greeks!$D$3,Greeks!$D$4,VolatilitySurface!O$26,VLOOKUP($B5,INDIRECT("'"&amp;O$2&amp;"'!I2:K45"),3))&gt;0.001,BSPutImVol(Greeks!$R$6,VolatilitySurface!$B5,Greeks!$D$3,Greeks!$D$4,VolatilitySurface!O$26,VLOOKUP($B5,INDIRECT("'"&amp;O$2&amp;"'!I2:K45"),3)),"")</f>
        <v>0.29540535062551498</v>
      </c>
    </row>
    <row r="6" spans="1:29" x14ac:dyDescent="0.2">
      <c r="B6" s="78">
        <v>205</v>
      </c>
      <c r="C6" s="75" cm="1">
        <f t="array" aca="1" ref="C6" ca="1">IF(BSPutImVol(Greeks!$R$6,VolatilitySurface!$B6,Greeks!$D$3,Greeks!$D$4,VolatilitySurface!C$26,VLOOKUP($B6,INDIRECT("'"&amp;C$2&amp;"'!I2:K45"),3))&gt;0.001,BSPutImVol(Greeks!$R$6,VolatilitySurface!$B6,Greeks!$D$3,Greeks!$D$4,VolatilitySurface!C$26,VLOOKUP($B6,INDIRECT("'"&amp;C$2&amp;"'!I2:K45"),3)),"")</f>
        <v>0.48958782106637955</v>
      </c>
      <c r="D6" s="75" cm="1">
        <f t="array" aca="1" ref="D6" ca="1">IF(BSPutImVol(Greeks!$R$6,VolatilitySurface!$B6,Greeks!$D$3,Greeks!$D$4,VolatilitySurface!D$26,VLOOKUP($B6,INDIRECT("'"&amp;D$2&amp;"'!I2:K45"),3))&gt;0.001,BSPutImVol(Greeks!$R$6,VolatilitySurface!$B6,Greeks!$D$3,Greeks!$D$4,VolatilitySurface!D$26,VLOOKUP($B6,INDIRECT("'"&amp;D$2&amp;"'!I2:K45"),3)),"")</f>
        <v>0.44426258653402328</v>
      </c>
      <c r="E6" s="75" cm="1">
        <f t="array" aca="1" ref="E6" ca="1">IF(BSPutImVol(Greeks!$R$6,VolatilitySurface!$B6,Greeks!$D$3,Greeks!$D$4,VolatilitySurface!E$26,VLOOKUP($B6,INDIRECT("'"&amp;E$2&amp;"'!I2:K45"),3))&gt;0.001,BSPutImVol(Greeks!$R$6,VolatilitySurface!$B6,Greeks!$D$3,Greeks!$D$4,VolatilitySurface!E$26,VLOOKUP($B6,INDIRECT("'"&amp;E$2&amp;"'!I2:K45"),3)),"")</f>
        <v>0.41365768760442734</v>
      </c>
      <c r="F6" s="75" cm="1">
        <f t="array" aca="1" ref="F6" ca="1">IF(BSPutImVol(Greeks!$R$6,VolatilitySurface!$B6,Greeks!$D$3,Greeks!$D$4,VolatilitySurface!F$26,VLOOKUP($B6,INDIRECT("'"&amp;F$2&amp;"'!I2:K45"),3))&gt;0.001,BSPutImVol(Greeks!$R$6,VolatilitySurface!$B6,Greeks!$D$3,Greeks!$D$4,VolatilitySurface!F$26,VLOOKUP($B6,INDIRECT("'"&amp;F$2&amp;"'!I2:K45"),3)),"")</f>
        <v>0.39249543100595474</v>
      </c>
      <c r="G6" s="75" t="e" cm="1">
        <f t="array" aca="1" ref="G6" ca="1">IF(BSPutImVol(Greeks!$R$6,VolatilitySurface!$B6,Greeks!$D$3,Greeks!$D$4,VolatilitySurface!G$26,VLOOKUP($B6,INDIRECT("'"&amp;G$2&amp;"'!I2:K45"),3))&gt;0.001,BSPutImVol(Greeks!$R$6,VolatilitySurface!$B6,Greeks!$D$3,Greeks!$D$4,VolatilitySurface!G$26,VLOOKUP($B6,INDIRECT("'"&amp;G$2&amp;"'!I2:K45"),3)),"")</f>
        <v>#VALUE!</v>
      </c>
      <c r="H6" s="75" cm="1">
        <f t="array" aca="1" ref="H6" ca="1">IF(BSPutImVol(Greeks!$R$6,VolatilitySurface!$B6,Greeks!$D$3,Greeks!$D$4,VolatilitySurface!H$26,VLOOKUP($B6,INDIRECT("'"&amp;H$2&amp;"'!I2:K45"),3))&gt;0.001,BSPutImVol(Greeks!$R$6,VolatilitySurface!$B6,Greeks!$D$3,Greeks!$D$4,VolatilitySurface!H$26,VLOOKUP($B6,INDIRECT("'"&amp;H$2&amp;"'!I2:K45"),3)),"")</f>
        <v>0.33738758414983749</v>
      </c>
      <c r="I6" s="75" cm="1">
        <f t="array" aca="1" ref="I6" ca="1">IF(BSPutImVol(Greeks!$R$6,VolatilitySurface!$B6,Greeks!$D$3,Greeks!$D$4,VolatilitySurface!I$26,VLOOKUP($B6,INDIRECT("'"&amp;I$2&amp;"'!I2:K45"),3))&gt;0.001,BSPutImVol(Greeks!$R$6,VolatilitySurface!$B6,Greeks!$D$3,Greeks!$D$4,VolatilitySurface!I$26,VLOOKUP($B6,INDIRECT("'"&amp;I$2&amp;"'!I2:K45"),3)),"")</f>
        <v>0.31809832900762558</v>
      </c>
      <c r="J6" s="75" cm="1">
        <f t="array" aca="1" ref="J6" ca="1">IF(BSPutImVol(Greeks!$R$6,VolatilitySurface!$B6,Greeks!$D$3,Greeks!$D$4,VolatilitySurface!J$26,VLOOKUP($B6,INDIRECT("'"&amp;J$2&amp;"'!I2:K45"),3))&gt;0.001,BSPutImVol(Greeks!$R$6,VolatilitySurface!$B6,Greeks!$D$3,Greeks!$D$4,VolatilitySurface!J$26,VLOOKUP($B6,INDIRECT("'"&amp;J$2&amp;"'!I2:K45"),3)),"")</f>
        <v>0.31104344874620438</v>
      </c>
      <c r="K6" s="75" cm="1">
        <f t="array" aca="1" ref="K6" ca="1">IF(BSPutImVol(Greeks!$R$6,VolatilitySurface!$B6,Greeks!$D$3,Greeks!$D$4,VolatilitySurface!K$26,VLOOKUP($B6,INDIRECT("'"&amp;K$2&amp;"'!I2:K45"),3))&gt;0.001,BSPutImVol(Greeks!$R$6,VolatilitySurface!$B6,Greeks!$D$3,Greeks!$D$4,VolatilitySurface!K$26,VLOOKUP($B6,INDIRECT("'"&amp;K$2&amp;"'!I2:K45"),3)),"")</f>
        <v>0.30115861445665359</v>
      </c>
      <c r="L6" s="75" cm="1">
        <f t="array" aca="1" ref="L6" ca="1">IF(BSPutImVol(Greeks!$R$6,VolatilitySurface!$B6,Greeks!$D$3,Greeks!$D$4,VolatilitySurface!L$26,VLOOKUP($B6,INDIRECT("'"&amp;L$2&amp;"'!I2:K45"),3))&gt;0.001,BSPutImVol(Greeks!$R$6,VolatilitySurface!$B6,Greeks!$D$3,Greeks!$D$4,VolatilitySurface!L$26,VLOOKUP($B6,INDIRECT("'"&amp;L$2&amp;"'!I2:K45"),3)),"")</f>
        <v>0.31051870435476303</v>
      </c>
      <c r="M6" s="75" cm="1">
        <f t="array" aca="1" ref="M6" ca="1">IF(BSPutImVol(Greeks!$R$6,VolatilitySurface!$B6,Greeks!$D$3,Greeks!$D$4,VolatilitySurface!M$26,VLOOKUP($B6,INDIRECT("'"&amp;M$2&amp;"'!I2:K45"),3))&gt;0.001,BSPutImVol(Greeks!$R$6,VolatilitySurface!$B6,Greeks!$D$3,Greeks!$D$4,VolatilitySurface!M$26,VLOOKUP($B6,INDIRECT("'"&amp;M$2&amp;"'!I2:K45"),3)),"")</f>
        <v>0.29594343155622482</v>
      </c>
      <c r="N6" s="75" cm="1">
        <f t="array" aca="1" ref="N6" ca="1">IF(BSPutImVol(Greeks!$R$6,VolatilitySurface!$B6,Greeks!$D$3,Greeks!$D$4,VolatilitySurface!N$26,VLOOKUP($B6,INDIRECT("'"&amp;N$2&amp;"'!I2:K45"),3))&gt;0.001,BSPutImVol(Greeks!$R$6,VolatilitySurface!$B6,Greeks!$D$3,Greeks!$D$4,VolatilitySurface!N$26,VLOOKUP($B6,INDIRECT("'"&amp;N$2&amp;"'!I2:K45"),3)),"")</f>
        <v>0.2962353453040123</v>
      </c>
      <c r="O6" s="75" cm="1">
        <f t="array" aca="1" ref="O6" ca="1">IF(BSPutImVol(Greeks!$R$6,VolatilitySurface!$B6,Greeks!$D$3,Greeks!$D$4,VolatilitySurface!O$26,VLOOKUP($B6,INDIRECT("'"&amp;O$2&amp;"'!I2:K45"),3))&gt;0.001,BSPutImVol(Greeks!$R$6,VolatilitySurface!$B6,Greeks!$D$3,Greeks!$D$4,VolatilitySurface!O$26,VLOOKUP($B6,INDIRECT("'"&amp;O$2&amp;"'!I2:K45"),3)),"")</f>
        <v>0.29424149543046951</v>
      </c>
    </row>
    <row r="7" spans="1:29" x14ac:dyDescent="0.2">
      <c r="B7" s="78">
        <v>210</v>
      </c>
      <c r="C7" s="75" cm="1">
        <f t="array" aca="1" ref="C7" ca="1">IF(BSPutImVol(Greeks!$R$6,VolatilitySurface!$B7,Greeks!$D$3,Greeks!$D$4,VolatilitySurface!C$26,VLOOKUP($B7,INDIRECT("'"&amp;C$2&amp;"'!I2:K45"),3))&gt;0.001,BSPutImVol(Greeks!$R$6,VolatilitySurface!$B7,Greeks!$D$3,Greeks!$D$4,VolatilitySurface!C$26,VLOOKUP($B7,INDIRECT("'"&amp;C$2&amp;"'!I2:K45"),3)),"")</f>
        <v>0.46842049807310104</v>
      </c>
      <c r="D7" s="75" cm="1">
        <f t="array" aca="1" ref="D7" ca="1">IF(BSPutImVol(Greeks!$R$6,VolatilitySurface!$B7,Greeks!$D$3,Greeks!$D$4,VolatilitySurface!D$26,VLOOKUP($B7,INDIRECT("'"&amp;D$2&amp;"'!I2:K45"),3))&gt;0.001,BSPutImVol(Greeks!$R$6,VolatilitySurface!$B7,Greeks!$D$3,Greeks!$D$4,VolatilitySurface!D$26,VLOOKUP($B7,INDIRECT("'"&amp;D$2&amp;"'!I2:K45"),3)),"")</f>
        <v>0.41511375457048416</v>
      </c>
      <c r="E7" s="75" cm="1">
        <f t="array" aca="1" ref="E7" ca="1">IF(BSPutImVol(Greeks!$R$6,VolatilitySurface!$B7,Greeks!$D$3,Greeks!$D$4,VolatilitySurface!E$26,VLOOKUP($B7,INDIRECT("'"&amp;E$2&amp;"'!I2:K45"),3))&gt;0.001,BSPutImVol(Greeks!$R$6,VolatilitySurface!$B7,Greeks!$D$3,Greeks!$D$4,VolatilitySurface!E$26,VLOOKUP($B7,INDIRECT("'"&amp;E$2&amp;"'!I2:K45"),3)),"")</f>
        <v>0.39028044790029526</v>
      </c>
      <c r="F7" s="75" cm="1">
        <f t="array" aca="1" ref="F7" ca="1">IF(BSPutImVol(Greeks!$R$6,VolatilitySurface!$B7,Greeks!$D$3,Greeks!$D$4,VolatilitySurface!F$26,VLOOKUP($B7,INDIRECT("'"&amp;F$2&amp;"'!I2:K45"),3))&gt;0.001,BSPutImVol(Greeks!$R$6,VolatilitySurface!$B7,Greeks!$D$3,Greeks!$D$4,VolatilitySurface!F$26,VLOOKUP($B7,INDIRECT("'"&amp;F$2&amp;"'!I2:K45"),3)),"")</f>
        <v>0.36530990153551102</v>
      </c>
      <c r="G7" s="75" t="e" cm="1">
        <f t="array" aca="1" ref="G7" ca="1">IF(BSPutImVol(Greeks!$R$6,VolatilitySurface!$B7,Greeks!$D$3,Greeks!$D$4,VolatilitySurface!G$26,VLOOKUP($B7,INDIRECT("'"&amp;G$2&amp;"'!I2:K45"),3))&gt;0.001,BSPutImVol(Greeks!$R$6,VolatilitySurface!$B7,Greeks!$D$3,Greeks!$D$4,VolatilitySurface!G$26,VLOOKUP($B7,INDIRECT("'"&amp;G$2&amp;"'!I2:K45"),3)),"")</f>
        <v>#VALUE!</v>
      </c>
      <c r="H7" s="75" cm="1">
        <f t="array" aca="1" ref="H7" ca="1">IF(BSPutImVol(Greeks!$R$6,VolatilitySurface!$B7,Greeks!$D$3,Greeks!$D$4,VolatilitySurface!H$26,VLOOKUP($B7,INDIRECT("'"&amp;H$2&amp;"'!I2:K45"),3))&gt;0.001,BSPutImVol(Greeks!$R$6,VolatilitySurface!$B7,Greeks!$D$3,Greeks!$D$4,VolatilitySurface!H$26,VLOOKUP($B7,INDIRECT("'"&amp;H$2&amp;"'!I2:K45"),3)),"")</f>
        <v>0.31906638294458389</v>
      </c>
      <c r="I7" s="75" cm="1">
        <f t="array" aca="1" ref="I7" ca="1">IF(BSPutImVol(Greeks!$R$6,VolatilitySurface!$B7,Greeks!$D$3,Greeks!$D$4,VolatilitySurface!I$26,VLOOKUP($B7,INDIRECT("'"&amp;I$2&amp;"'!I2:K45"),3))&gt;0.001,BSPutImVol(Greeks!$R$6,VolatilitySurface!$B7,Greeks!$D$3,Greeks!$D$4,VolatilitySurface!I$26,VLOOKUP($B7,INDIRECT("'"&amp;I$2&amp;"'!I2:K45"),3)),"")</f>
        <v>0.30457418411970139</v>
      </c>
      <c r="J7" s="75" cm="1">
        <f t="array" aca="1" ref="J7" ca="1">IF(BSPutImVol(Greeks!$R$6,VolatilitySurface!$B7,Greeks!$D$3,Greeks!$D$4,VolatilitySurface!J$26,VLOOKUP($B7,INDIRECT("'"&amp;J$2&amp;"'!I2:K45"),3))&gt;0.001,BSPutImVol(Greeks!$R$6,VolatilitySurface!$B7,Greeks!$D$3,Greeks!$D$4,VolatilitySurface!J$26,VLOOKUP($B7,INDIRECT("'"&amp;J$2&amp;"'!I2:K45"),3)),"")</f>
        <v>0.30045080929994583</v>
      </c>
      <c r="K7" s="75" cm="1">
        <f t="array" aca="1" ref="K7" ca="1">IF(BSPutImVol(Greeks!$R$6,VolatilitySurface!$B7,Greeks!$D$3,Greeks!$D$4,VolatilitySurface!K$26,VLOOKUP($B7,INDIRECT("'"&amp;K$2&amp;"'!I2:K45"),3))&gt;0.001,BSPutImVol(Greeks!$R$6,VolatilitySurface!$B7,Greeks!$D$3,Greeks!$D$4,VolatilitySurface!K$26,VLOOKUP($B7,INDIRECT("'"&amp;K$2&amp;"'!I2:K45"),3)),"")</f>
        <v>0.29312711209058762</v>
      </c>
      <c r="L7" s="75" cm="1">
        <f t="array" aca="1" ref="L7" ca="1">IF(BSPutImVol(Greeks!$R$6,VolatilitySurface!$B7,Greeks!$D$3,Greeks!$D$4,VolatilitySurface!L$26,VLOOKUP($B7,INDIRECT("'"&amp;L$2&amp;"'!I2:K45"),3))&gt;0.001,BSPutImVol(Greeks!$R$6,VolatilitySurface!$B7,Greeks!$D$3,Greeks!$D$4,VolatilitySurface!L$26,VLOOKUP($B7,INDIRECT("'"&amp;L$2&amp;"'!I2:K45"),3)),"")</f>
        <v>0.28915207833051682</v>
      </c>
      <c r="M7" s="75" cm="1">
        <f t="array" aca="1" ref="M7" ca="1">IF(BSPutImVol(Greeks!$R$6,VolatilitySurface!$B7,Greeks!$D$3,Greeks!$D$4,VolatilitySurface!M$26,VLOOKUP($B7,INDIRECT("'"&amp;M$2&amp;"'!I2:K45"),3))&gt;0.001,BSPutImVol(Greeks!$R$6,VolatilitySurface!$B7,Greeks!$D$3,Greeks!$D$4,VolatilitySurface!M$26,VLOOKUP($B7,INDIRECT("'"&amp;M$2&amp;"'!I2:K45"),3)),"")</f>
        <v>0.2899126335978508</v>
      </c>
      <c r="N7" s="75" cm="1">
        <f t="array" aca="1" ref="N7" ca="1">IF(BSPutImVol(Greeks!$R$6,VolatilitySurface!$B7,Greeks!$D$3,Greeks!$D$4,VolatilitySurface!N$26,VLOOKUP($B7,INDIRECT("'"&amp;N$2&amp;"'!I2:K45"),3))&gt;0.001,BSPutImVol(Greeks!$R$6,VolatilitySurface!$B7,Greeks!$D$3,Greeks!$D$4,VolatilitySurface!N$26,VLOOKUP($B7,INDIRECT("'"&amp;N$2&amp;"'!I2:K45"),3)),"")</f>
        <v>0.2943551167845726</v>
      </c>
      <c r="O7" s="75" cm="1">
        <f t="array" aca="1" ref="O7" ca="1">IF(BSPutImVol(Greeks!$R$6,VolatilitySurface!$B7,Greeks!$D$3,Greeks!$D$4,VolatilitySurface!O$26,VLOOKUP($B7,INDIRECT("'"&amp;O$2&amp;"'!I2:K45"),3))&gt;0.001,BSPutImVol(Greeks!$R$6,VolatilitySurface!$B7,Greeks!$D$3,Greeks!$D$4,VolatilitySurface!O$26,VLOOKUP($B7,INDIRECT("'"&amp;O$2&amp;"'!I2:K45"),3)),"")</f>
        <v>0.28840024024248123</v>
      </c>
    </row>
    <row r="8" spans="1:29" x14ac:dyDescent="0.2">
      <c r="B8" s="78">
        <v>215</v>
      </c>
      <c r="C8" s="75" cm="1">
        <f t="array" aca="1" ref="C8" ca="1">IF(BSPutImVol(Greeks!$R$6,VolatilitySurface!$B8,Greeks!$D$3,Greeks!$D$4,VolatilitySurface!C$26,VLOOKUP($B8,INDIRECT("'"&amp;C$2&amp;"'!I2:K45"),3))&gt;0.001,BSPutImVol(Greeks!$R$6,VolatilitySurface!$B8,Greeks!$D$3,Greeks!$D$4,VolatilitySurface!C$26,VLOOKUP($B8,INDIRECT("'"&amp;C$2&amp;"'!I2:K45"),3)),"")</f>
        <v>0.42819369584321976</v>
      </c>
      <c r="D8" s="75" cm="1">
        <f t="array" aca="1" ref="D8" ca="1">IF(BSPutImVol(Greeks!$R$6,VolatilitySurface!$B8,Greeks!$D$3,Greeks!$D$4,VolatilitySurface!D$26,VLOOKUP($B8,INDIRECT("'"&amp;D$2&amp;"'!I2:K45"),3))&gt;0.001,BSPutImVol(Greeks!$R$6,VolatilitySurface!$B8,Greeks!$D$3,Greeks!$D$4,VolatilitySurface!D$26,VLOOKUP($B8,INDIRECT("'"&amp;D$2&amp;"'!I2:K45"),3)),"")</f>
        <v>0.38935143500566483</v>
      </c>
      <c r="E8" s="75" cm="1">
        <f t="array" aca="1" ref="E8" ca="1">IF(BSPutImVol(Greeks!$R$6,VolatilitySurface!$B8,Greeks!$D$3,Greeks!$D$4,VolatilitySurface!E$26,VLOOKUP($B8,INDIRECT("'"&amp;E$2&amp;"'!I2:K45"),3))&gt;0.001,BSPutImVol(Greeks!$R$6,VolatilitySurface!$B8,Greeks!$D$3,Greeks!$D$4,VolatilitySurface!E$26,VLOOKUP($B8,INDIRECT("'"&amp;E$2&amp;"'!I2:K45"),3)),"")</f>
        <v>0.35913709551095963</v>
      </c>
      <c r="F8" s="75" cm="1">
        <f t="array" aca="1" ref="F8" ca="1">IF(BSPutImVol(Greeks!$R$6,VolatilitySurface!$B8,Greeks!$D$3,Greeks!$D$4,VolatilitySurface!F$26,VLOOKUP($B8,INDIRECT("'"&amp;F$2&amp;"'!I2:K45"),3))&gt;0.001,BSPutImVol(Greeks!$R$6,VolatilitySurface!$B8,Greeks!$D$3,Greeks!$D$4,VolatilitySurface!F$26,VLOOKUP($B8,INDIRECT("'"&amp;F$2&amp;"'!I2:K45"),3)),"")</f>
        <v>0.3424203023314476</v>
      </c>
      <c r="G8" s="75" t="e" cm="1">
        <f t="array" aca="1" ref="G8" ca="1">IF(BSPutImVol(Greeks!$R$6,VolatilitySurface!$B8,Greeks!$D$3,Greeks!$D$4,VolatilitySurface!G$26,VLOOKUP($B8,INDIRECT("'"&amp;G$2&amp;"'!I2:K45"),3))&gt;0.001,BSPutImVol(Greeks!$R$6,VolatilitySurface!$B8,Greeks!$D$3,Greeks!$D$4,VolatilitySurface!G$26,VLOOKUP($B8,INDIRECT("'"&amp;G$2&amp;"'!I2:K45"),3)),"")</f>
        <v>#VALUE!</v>
      </c>
      <c r="H8" s="75" cm="1">
        <f t="array" aca="1" ref="H8" ca="1">IF(BSPutImVol(Greeks!$R$6,VolatilitySurface!$B8,Greeks!$D$3,Greeks!$D$4,VolatilitySurface!H$26,VLOOKUP($B8,INDIRECT("'"&amp;H$2&amp;"'!I2:K45"),3))&gt;0.001,BSPutImVol(Greeks!$R$6,VolatilitySurface!$B8,Greeks!$D$3,Greeks!$D$4,VolatilitySurface!H$26,VLOOKUP($B8,INDIRECT("'"&amp;H$2&amp;"'!I2:K45"),3)),"")</f>
        <v>0.30261468142271042</v>
      </c>
      <c r="I8" s="75" cm="1">
        <f t="array" aca="1" ref="I8" ca="1">IF(BSPutImVol(Greeks!$R$6,VolatilitySurface!$B8,Greeks!$D$3,Greeks!$D$4,VolatilitySurface!I$26,VLOOKUP($B8,INDIRECT("'"&amp;I$2&amp;"'!I2:K45"),3))&gt;0.001,BSPutImVol(Greeks!$R$6,VolatilitySurface!$B8,Greeks!$D$3,Greeks!$D$4,VolatilitySurface!I$26,VLOOKUP($B8,INDIRECT("'"&amp;I$2&amp;"'!I2:K45"),3)),"")</f>
        <v>0.29300358146429062</v>
      </c>
      <c r="J8" s="75" cm="1">
        <f t="array" aca="1" ref="J8" ca="1">IF(BSPutImVol(Greeks!$R$6,VolatilitySurface!$B8,Greeks!$D$3,Greeks!$D$4,VolatilitySurface!J$26,VLOOKUP($B8,INDIRECT("'"&amp;J$2&amp;"'!I2:K45"),3))&gt;0.001,BSPutImVol(Greeks!$R$6,VolatilitySurface!$B8,Greeks!$D$3,Greeks!$D$4,VolatilitySurface!J$26,VLOOKUP($B8,INDIRECT("'"&amp;J$2&amp;"'!I2:K45"),3)),"")</f>
        <v>0.29466446489095688</v>
      </c>
      <c r="K8" s="75" cm="1">
        <f t="array" aca="1" ref="K8" ca="1">IF(BSPutImVol(Greeks!$R$6,VolatilitySurface!$B8,Greeks!$D$3,Greeks!$D$4,VolatilitySurface!K$26,VLOOKUP($B8,INDIRECT("'"&amp;K$2&amp;"'!I2:K45"),3))&gt;0.001,BSPutImVol(Greeks!$R$6,VolatilitySurface!$B8,Greeks!$D$3,Greeks!$D$4,VolatilitySurface!K$26,VLOOKUP($B8,INDIRECT("'"&amp;K$2&amp;"'!I2:K45"),3)),"")</f>
        <v>0.28502877801656723</v>
      </c>
      <c r="L8" s="75" cm="1">
        <f t="array" aca="1" ref="L8" ca="1">IF(BSPutImVol(Greeks!$R$6,VolatilitySurface!$B8,Greeks!$D$3,Greeks!$D$4,VolatilitySurface!L$26,VLOOKUP($B8,INDIRECT("'"&amp;L$2&amp;"'!I2:K45"),3))&gt;0.001,BSPutImVol(Greeks!$R$6,VolatilitySurface!$B8,Greeks!$D$3,Greeks!$D$4,VolatilitySurface!L$26,VLOOKUP($B8,INDIRECT("'"&amp;L$2&amp;"'!I2:K45"),3)),"")</f>
        <v>0.28419185429811478</v>
      </c>
      <c r="M8" s="75" cm="1">
        <f t="array" aca="1" ref="M8" ca="1">IF(BSPutImVol(Greeks!$R$6,VolatilitySurface!$B8,Greeks!$D$3,Greeks!$D$4,VolatilitySurface!M$26,VLOOKUP($B8,INDIRECT("'"&amp;M$2&amp;"'!I2:K45"),3))&gt;0.001,BSPutImVol(Greeks!$R$6,VolatilitySurface!$B8,Greeks!$D$3,Greeks!$D$4,VolatilitySurface!M$26,VLOOKUP($B8,INDIRECT("'"&amp;M$2&amp;"'!I2:K45"),3)),"")</f>
        <v>0.28455261141061783</v>
      </c>
      <c r="N8" s="75" cm="1">
        <f t="array" aca="1" ref="N8" ca="1">IF(BSPutImVol(Greeks!$R$6,VolatilitySurface!$B8,Greeks!$D$3,Greeks!$D$4,VolatilitySurface!N$26,VLOOKUP($B8,INDIRECT("'"&amp;N$2&amp;"'!I2:K45"),3))&gt;0.001,BSPutImVol(Greeks!$R$6,VolatilitySurface!$B8,Greeks!$D$3,Greeks!$D$4,VolatilitySurface!N$26,VLOOKUP($B8,INDIRECT("'"&amp;N$2&amp;"'!I2:K45"),3)),"")</f>
        <v>0.28750795871019363</v>
      </c>
      <c r="O8" s="75" cm="1">
        <f t="array" aca="1" ref="O8" ca="1">IF(BSPutImVol(Greeks!$R$6,VolatilitySurface!$B8,Greeks!$D$3,Greeks!$D$4,VolatilitySurface!O$26,VLOOKUP($B8,INDIRECT("'"&amp;O$2&amp;"'!I2:K45"),3))&gt;0.001,BSPutImVol(Greeks!$R$6,VolatilitySurface!$B8,Greeks!$D$3,Greeks!$D$4,VolatilitySurface!O$26,VLOOKUP($B8,INDIRECT("'"&amp;O$2&amp;"'!I2:K45"),3)),"")</f>
        <v>0.28495069593191147</v>
      </c>
    </row>
    <row r="9" spans="1:29" x14ac:dyDescent="0.2">
      <c r="A9" s="110" t="s">
        <v>28</v>
      </c>
      <c r="B9" s="78">
        <v>220</v>
      </c>
      <c r="C9" s="75" cm="1">
        <f t="array" aca="1" ref="C9" ca="1">IF(BSPutImVol(Greeks!$R$6,VolatilitySurface!$B9,Greeks!$D$3,Greeks!$D$4,VolatilitySurface!C$26,VLOOKUP($B9,INDIRECT("'"&amp;C$2&amp;"'!I2:K45"),3))&gt;0.001,BSPutImVol(Greeks!$R$6,VolatilitySurface!$B9,Greeks!$D$3,Greeks!$D$4,VolatilitySurface!C$26,VLOOKUP($B9,INDIRECT("'"&amp;C$2&amp;"'!I2:K45"),3)),"")</f>
        <v>0.3934936597943306</v>
      </c>
      <c r="D9" s="75" cm="1">
        <f t="array" aca="1" ref="D9" ca="1">IF(BSPutImVol(Greeks!$R$6,VolatilitySurface!$B9,Greeks!$D$3,Greeks!$D$4,VolatilitySurface!D$26,VLOOKUP($B9,INDIRECT("'"&amp;D$2&amp;"'!I2:K45"),3))&gt;0.001,BSPutImVol(Greeks!$R$6,VolatilitySurface!$B9,Greeks!$D$3,Greeks!$D$4,VolatilitySurface!D$26,VLOOKUP($B9,INDIRECT("'"&amp;D$2&amp;"'!I2:K45"),3)),"")</f>
        <v>0.35960230976343155</v>
      </c>
      <c r="E9" s="75" cm="1">
        <f t="array" aca="1" ref="E9" ca="1">IF(BSPutImVol(Greeks!$R$6,VolatilitySurface!$B9,Greeks!$D$3,Greeks!$D$4,VolatilitySurface!E$26,VLOOKUP($B9,INDIRECT("'"&amp;E$2&amp;"'!I2:K45"),3))&gt;0.001,BSPutImVol(Greeks!$R$6,VolatilitySurface!$B9,Greeks!$D$3,Greeks!$D$4,VolatilitySurface!E$26,VLOOKUP($B9,INDIRECT("'"&amp;E$2&amp;"'!I2:K45"),3)),"")</f>
        <v>0.33546667546033859</v>
      </c>
      <c r="F9" s="75" cm="1">
        <f t="array" aca="1" ref="F9" ca="1">IF(BSPutImVol(Greeks!$R$6,VolatilitySurface!$B9,Greeks!$D$3,Greeks!$D$4,VolatilitySurface!F$26,VLOOKUP($B9,INDIRECT("'"&amp;F$2&amp;"'!I2:K45"),3))&gt;0.001,BSPutImVol(Greeks!$R$6,VolatilitySurface!$B9,Greeks!$D$3,Greeks!$D$4,VolatilitySurface!F$26,VLOOKUP($B9,INDIRECT("'"&amp;F$2&amp;"'!I2:K45"),3)),"")</f>
        <v>0.31748656183481216</v>
      </c>
      <c r="G9" s="75" cm="1">
        <f t="array" aca="1" ref="G9" ca="1">IF(BSPutImVol(Greeks!$R$6,VolatilitySurface!$B9,Greeks!$D$3,Greeks!$D$4,VolatilitySurface!G$26,VLOOKUP($B9,INDIRECT("'"&amp;G$2&amp;"'!I2:K45"),3))&gt;0.001,BSPutImVol(Greeks!$R$6,VolatilitySurface!$B9,Greeks!$D$3,Greeks!$D$4,VolatilitySurface!G$26,VLOOKUP($B9,INDIRECT("'"&amp;G$2&amp;"'!I2:K45"),3)),"")</f>
        <v>0.31663823872804642</v>
      </c>
      <c r="H9" s="75" cm="1">
        <f t="array" aca="1" ref="H9" ca="1">IF(BSPutImVol(Greeks!$R$6,VolatilitySurface!$B9,Greeks!$D$3,Greeks!$D$4,VolatilitySurface!H$26,VLOOKUP($B9,INDIRECT("'"&amp;H$2&amp;"'!I2:K45"),3))&gt;0.001,BSPutImVol(Greeks!$R$6,VolatilitySurface!$B9,Greeks!$D$3,Greeks!$D$4,VolatilitySurface!H$26,VLOOKUP($B9,INDIRECT("'"&amp;H$2&amp;"'!I2:K45"),3)),"")</f>
        <v>0.28960343450307846</v>
      </c>
      <c r="I9" s="75" cm="1">
        <f t="array" aca="1" ref="I9" ca="1">IF(BSPutImVol(Greeks!$R$6,VolatilitySurface!$B9,Greeks!$D$3,Greeks!$D$4,VolatilitySurface!I$26,VLOOKUP($B9,INDIRECT("'"&amp;I$2&amp;"'!I2:K45"),3))&gt;0.001,BSPutImVol(Greeks!$R$6,VolatilitySurface!$B9,Greeks!$D$3,Greeks!$D$4,VolatilitySurface!I$26,VLOOKUP($B9,INDIRECT("'"&amp;I$2&amp;"'!I2:K45"),3)),"")</f>
        <v>0.27721147984266281</v>
      </c>
      <c r="J9" s="75" cm="1">
        <f t="array" aca="1" ref="J9" ca="1">IF(BSPutImVol(Greeks!$R$6,VolatilitySurface!$B9,Greeks!$D$3,Greeks!$D$4,VolatilitySurface!J$26,VLOOKUP($B9,INDIRECT("'"&amp;J$2&amp;"'!I2:K45"),3))&gt;0.001,BSPutImVol(Greeks!$R$6,VolatilitySurface!$B9,Greeks!$D$3,Greeks!$D$4,VolatilitySurface!J$26,VLOOKUP($B9,INDIRECT("'"&amp;J$2&amp;"'!I2:K45"),3)),"")</f>
        <v>0.28095472604036331</v>
      </c>
      <c r="K9" s="75" cm="1">
        <f t="array" aca="1" ref="K9" ca="1">IF(BSPutImVol(Greeks!$R$6,VolatilitySurface!$B9,Greeks!$D$3,Greeks!$D$4,VolatilitySurface!K$26,VLOOKUP($B9,INDIRECT("'"&amp;K$2&amp;"'!I2:K45"),3))&gt;0.001,BSPutImVol(Greeks!$R$6,VolatilitySurface!$B9,Greeks!$D$3,Greeks!$D$4,VolatilitySurface!K$26,VLOOKUP($B9,INDIRECT("'"&amp;K$2&amp;"'!I2:K45"),3)),"")</f>
        <v>0.27811970561742783</v>
      </c>
      <c r="L9" s="75" cm="1">
        <f t="array" aca="1" ref="L9" ca="1">IF(BSPutImVol(Greeks!$R$6,VolatilitySurface!$B9,Greeks!$D$3,Greeks!$D$4,VolatilitySurface!L$26,VLOOKUP($B9,INDIRECT("'"&amp;L$2&amp;"'!I2:K45"),3))&gt;0.001,BSPutImVol(Greeks!$R$6,VolatilitySurface!$B9,Greeks!$D$3,Greeks!$D$4,VolatilitySurface!L$26,VLOOKUP($B9,INDIRECT("'"&amp;L$2&amp;"'!I2:K45"),3)),"")</f>
        <v>0.27623306959867477</v>
      </c>
      <c r="M9" s="75" cm="1">
        <f t="array" aca="1" ref="M9" ca="1">IF(BSPutImVol(Greeks!$R$6,VolatilitySurface!$B9,Greeks!$D$3,Greeks!$D$4,VolatilitySurface!M$26,VLOOKUP($B9,INDIRECT("'"&amp;M$2&amp;"'!I2:K45"),3))&gt;0.001,BSPutImVol(Greeks!$R$6,VolatilitySurface!$B9,Greeks!$D$3,Greeks!$D$4,VolatilitySurface!M$26,VLOOKUP($B9,INDIRECT("'"&amp;M$2&amp;"'!I2:K45"),3)),"")</f>
        <v>0.27921345084905624</v>
      </c>
      <c r="N9" s="75" cm="1">
        <f t="array" aca="1" ref="N9" ca="1">IF(BSPutImVol(Greeks!$R$6,VolatilitySurface!$B9,Greeks!$D$3,Greeks!$D$4,VolatilitySurface!N$26,VLOOKUP($B9,INDIRECT("'"&amp;N$2&amp;"'!I2:K45"),3))&gt;0.001,BSPutImVol(Greeks!$R$6,VolatilitySurface!$B9,Greeks!$D$3,Greeks!$D$4,VolatilitySurface!N$26,VLOOKUP($B9,INDIRECT("'"&amp;N$2&amp;"'!I2:K45"),3)),"")</f>
        <v>0.28584953397512436</v>
      </c>
      <c r="O9" s="75" cm="1">
        <f t="array" aca="1" ref="O9" ca="1">IF(BSPutImVol(Greeks!$R$6,VolatilitySurface!$B9,Greeks!$D$3,Greeks!$D$4,VolatilitySurface!O$26,VLOOKUP($B9,INDIRECT("'"&amp;O$2&amp;"'!I2:K45"),3))&gt;0.001,BSPutImVol(Greeks!$R$6,VolatilitySurface!$B9,Greeks!$D$3,Greeks!$D$4,VolatilitySurface!O$26,VLOOKUP($B9,INDIRECT("'"&amp;O$2&amp;"'!I2:K45"),3)),"")</f>
        <v>0.28494041413068771</v>
      </c>
    </row>
    <row r="10" spans="1:29" x14ac:dyDescent="0.2">
      <c r="A10" s="110"/>
      <c r="B10" s="78">
        <v>225</v>
      </c>
      <c r="C10" s="75" cm="1">
        <f t="array" aca="1" ref="C10" ca="1">IF(BSPutImVol(Greeks!$R$6,VolatilitySurface!$B10,Greeks!$D$3,Greeks!$D$4,VolatilitySurface!C$26,VLOOKUP($B10,INDIRECT("'"&amp;C$2&amp;"'!I2:K45"),3))&gt;0.001,BSPutImVol(Greeks!$R$6,VolatilitySurface!$B10,Greeks!$D$3,Greeks!$D$4,VolatilitySurface!C$26,VLOOKUP($B10,INDIRECT("'"&amp;C$2&amp;"'!I2:K45"),3)),"")</f>
        <v>0.36089595407247543</v>
      </c>
      <c r="D10" s="75" cm="1">
        <f t="array" aca="1" ref="D10" ca="1">IF(BSPutImVol(Greeks!$R$6,VolatilitySurface!$B10,Greeks!$D$3,Greeks!$D$4,VolatilitySurface!D$26,VLOOKUP($B10,INDIRECT("'"&amp;D$2&amp;"'!I2:K45"),3))&gt;0.001,BSPutImVol(Greeks!$R$6,VolatilitySurface!$B10,Greeks!$D$3,Greeks!$D$4,VolatilitySurface!D$26,VLOOKUP($B10,INDIRECT("'"&amp;D$2&amp;"'!I2:K45"),3)),"")</f>
        <v>0.33263456076383591</v>
      </c>
      <c r="E10" s="75" cm="1">
        <f t="array" aca="1" ref="E10" ca="1">IF(BSPutImVol(Greeks!$R$6,VolatilitySurface!$B10,Greeks!$D$3,Greeks!$D$4,VolatilitySurface!E$26,VLOOKUP($B10,INDIRECT("'"&amp;E$2&amp;"'!I2:K45"),3))&gt;0.001,BSPutImVol(Greeks!$R$6,VolatilitySurface!$B10,Greeks!$D$3,Greeks!$D$4,VolatilitySurface!E$26,VLOOKUP($B10,INDIRECT("'"&amp;E$2&amp;"'!I2:K45"),3)),"")</f>
        <v>0.31585637480020523</v>
      </c>
      <c r="F10" s="75" cm="1">
        <f t="array" aca="1" ref="F10" ca="1">IF(BSPutImVol(Greeks!$R$6,VolatilitySurface!$B10,Greeks!$D$3,Greeks!$D$4,VolatilitySurface!F$26,VLOOKUP($B10,INDIRECT("'"&amp;F$2&amp;"'!I2:K45"),3))&gt;0.001,BSPutImVol(Greeks!$R$6,VolatilitySurface!$B10,Greeks!$D$3,Greeks!$D$4,VolatilitySurface!F$26,VLOOKUP($B10,INDIRECT("'"&amp;F$2&amp;"'!I2:K45"),3)),"")</f>
        <v>0.29732350260019302</v>
      </c>
      <c r="G10" s="75" cm="1">
        <f t="array" aca="1" ref="G10" ca="1">IF(BSPutImVol(Greeks!$R$6,VolatilitySurface!$B10,Greeks!$D$3,Greeks!$D$4,VolatilitySurface!G$26,VLOOKUP($B10,INDIRECT("'"&amp;G$2&amp;"'!I2:K45"),3))&gt;0.001,BSPutImVol(Greeks!$R$6,VolatilitySurface!$B10,Greeks!$D$3,Greeks!$D$4,VolatilitySurface!G$26,VLOOKUP($B10,INDIRECT("'"&amp;G$2&amp;"'!I2:K45"),3)),"")</f>
        <v>0.30470628291368484</v>
      </c>
      <c r="H10" s="75" cm="1">
        <f t="array" aca="1" ref="H10" ca="1">IF(BSPutImVol(Greeks!$R$6,VolatilitySurface!$B10,Greeks!$D$3,Greeks!$D$4,VolatilitySurface!H$26,VLOOKUP($B10,INDIRECT("'"&amp;H$2&amp;"'!I2:K45"),3))&gt;0.001,BSPutImVol(Greeks!$R$6,VolatilitySurface!$B10,Greeks!$D$3,Greeks!$D$4,VolatilitySurface!H$26,VLOOKUP($B10,INDIRECT("'"&amp;H$2&amp;"'!I2:K45"),3)),"")</f>
        <v>0.27791973203420639</v>
      </c>
      <c r="I10" s="75" cm="1">
        <f t="array" aca="1" ref="I10" ca="1">IF(BSPutImVol(Greeks!$R$6,VolatilitySurface!$B10,Greeks!$D$3,Greeks!$D$4,VolatilitySurface!I$26,VLOOKUP($B10,INDIRECT("'"&amp;I$2&amp;"'!I2:K45"),3))&gt;0.001,BSPutImVol(Greeks!$R$6,VolatilitySurface!$B10,Greeks!$D$3,Greeks!$D$4,VolatilitySurface!I$26,VLOOKUP($B10,INDIRECT("'"&amp;I$2&amp;"'!I2:K45"),3)),"")</f>
        <v>0.26823032647371292</v>
      </c>
      <c r="J10" s="75" cm="1">
        <f t="array" aca="1" ref="J10" ca="1">IF(BSPutImVol(Greeks!$R$6,VolatilitySurface!$B10,Greeks!$D$3,Greeks!$D$4,VolatilitySurface!J$26,VLOOKUP($B10,INDIRECT("'"&amp;J$2&amp;"'!I2:K45"),3))&gt;0.001,BSPutImVol(Greeks!$R$6,VolatilitySurface!$B10,Greeks!$D$3,Greeks!$D$4,VolatilitySurface!J$26,VLOOKUP($B10,INDIRECT("'"&amp;J$2&amp;"'!I2:K45"),3)),"")</f>
        <v>0.27382779866456985</v>
      </c>
      <c r="K10" s="75" cm="1">
        <f t="array" aca="1" ref="K10" ca="1">IF(BSPutImVol(Greeks!$R$6,VolatilitySurface!$B10,Greeks!$D$3,Greeks!$D$4,VolatilitySurface!K$26,VLOOKUP($B10,INDIRECT("'"&amp;K$2&amp;"'!I2:K45"),3))&gt;0.001,BSPutImVol(Greeks!$R$6,VolatilitySurface!$B10,Greeks!$D$3,Greeks!$D$4,VolatilitySurface!K$26,VLOOKUP($B10,INDIRECT("'"&amp;K$2&amp;"'!I2:K45"),3)),"")</f>
        <v>0.27063783258199692</v>
      </c>
      <c r="L10" s="75" cm="1">
        <f t="array" aca="1" ref="L10" ca="1">IF(BSPutImVol(Greeks!$R$6,VolatilitySurface!$B10,Greeks!$D$3,Greeks!$D$4,VolatilitySurface!L$26,VLOOKUP($B10,INDIRECT("'"&amp;L$2&amp;"'!I2:K45"),3))&gt;0.001,BSPutImVol(Greeks!$R$6,VolatilitySurface!$B10,Greeks!$D$3,Greeks!$D$4,VolatilitySurface!L$26,VLOOKUP($B10,INDIRECT("'"&amp;L$2&amp;"'!I2:K45"),3)),"")</f>
        <v>0.2720889076590538</v>
      </c>
      <c r="M10" s="75" cm="1">
        <f t="array" aca="1" ref="M10" ca="1">IF(BSPutImVol(Greeks!$R$6,VolatilitySurface!$B10,Greeks!$D$3,Greeks!$D$4,VolatilitySurface!M$26,VLOOKUP($B10,INDIRECT("'"&amp;M$2&amp;"'!I2:K45"),3))&gt;0.001,BSPutImVol(Greeks!$R$6,VolatilitySurface!$B10,Greeks!$D$3,Greeks!$D$4,VolatilitySurface!M$26,VLOOKUP($B10,INDIRECT("'"&amp;M$2&amp;"'!I2:K45"),3)),"")</f>
        <v>0.27285058051347733</v>
      </c>
      <c r="N10" s="75" cm="1">
        <f t="array" aca="1" ref="N10" ca="1">IF(BSPutImVol(Greeks!$R$6,VolatilitySurface!$B10,Greeks!$D$3,Greeks!$D$4,VolatilitySurface!N$26,VLOOKUP($B10,INDIRECT("'"&amp;N$2&amp;"'!I2:K45"),3))&gt;0.001,BSPutImVol(Greeks!$R$6,VolatilitySurface!$B10,Greeks!$D$3,Greeks!$D$4,VolatilitySurface!N$26,VLOOKUP($B10,INDIRECT("'"&amp;N$2&amp;"'!I2:K45"),3)),"")</f>
        <v>0.27944985777139664</v>
      </c>
      <c r="O10" s="75" cm="1">
        <f t="array" aca="1" ref="O10" ca="1">IF(BSPutImVol(Greeks!$R$6,VolatilitySurface!$B10,Greeks!$D$3,Greeks!$D$4,VolatilitySurface!O$26,VLOOKUP($B10,INDIRECT("'"&amp;O$2&amp;"'!I2:K45"),3))&gt;0.001,BSPutImVol(Greeks!$R$6,VolatilitySurface!$B10,Greeks!$D$3,Greeks!$D$4,VolatilitySurface!O$26,VLOOKUP($B10,INDIRECT("'"&amp;O$2&amp;"'!I2:K45"),3)),"")</f>
        <v>0.27689013630151749</v>
      </c>
    </row>
    <row r="11" spans="1:29" x14ac:dyDescent="0.2">
      <c r="A11" s="110"/>
      <c r="B11" s="78">
        <v>230</v>
      </c>
      <c r="C11" s="75" cm="1">
        <f t="array" aca="1" ref="C11" ca="1">IF(BSPutImVol(Greeks!$R$6,VolatilitySurface!$B11,Greeks!$D$3,Greeks!$D$4,VolatilitySurface!C$26,VLOOKUP($B11,INDIRECT("'"&amp;C$2&amp;"'!I2:K45"),3))&gt;0.001,BSPutImVol(Greeks!$R$6,VolatilitySurface!$B11,Greeks!$D$3,Greeks!$D$4,VolatilitySurface!C$26,VLOOKUP($B11,INDIRECT("'"&amp;C$2&amp;"'!I2:K45"),3)),"")</f>
        <v>0.33539939671754837</v>
      </c>
      <c r="D11" s="75" cm="1">
        <f t="array" aca="1" ref="D11" ca="1">IF(BSPutImVol(Greeks!$R$6,VolatilitySurface!$B11,Greeks!$D$3,Greeks!$D$4,VolatilitySurface!D$26,VLOOKUP($B11,INDIRECT("'"&amp;D$2&amp;"'!I2:K45"),3))&gt;0.001,BSPutImVol(Greeks!$R$6,VolatilitySurface!$B11,Greeks!$D$3,Greeks!$D$4,VolatilitySurface!D$26,VLOOKUP($B11,INDIRECT("'"&amp;D$2&amp;"'!I2:K45"),3)),"")</f>
        <v>0.30324708670377731</v>
      </c>
      <c r="E11" s="75" cm="1">
        <f t="array" aca="1" ref="E11" ca="1">IF(BSPutImVol(Greeks!$R$6,VolatilitySurface!$B11,Greeks!$D$3,Greeks!$D$4,VolatilitySurface!E$26,VLOOKUP($B11,INDIRECT("'"&amp;E$2&amp;"'!I2:K45"),3))&gt;0.001,BSPutImVol(Greeks!$R$6,VolatilitySurface!$B11,Greeks!$D$3,Greeks!$D$4,VolatilitySurface!E$26,VLOOKUP($B11,INDIRECT("'"&amp;E$2&amp;"'!I2:K45"),3)),"")</f>
        <v>0.29489617794752121</v>
      </c>
      <c r="F11" s="75" cm="1">
        <f t="array" aca="1" ref="F11" ca="1">IF(BSPutImVol(Greeks!$R$6,VolatilitySurface!$B11,Greeks!$D$3,Greeks!$D$4,VolatilitySurface!F$26,VLOOKUP($B11,INDIRECT("'"&amp;F$2&amp;"'!I2:K45"),3))&gt;0.001,BSPutImVol(Greeks!$R$6,VolatilitySurface!$B11,Greeks!$D$3,Greeks!$D$4,VolatilitySurface!F$26,VLOOKUP($B11,INDIRECT("'"&amp;F$2&amp;"'!I2:K45"),3)),"")</f>
        <v>0.27811396867036819</v>
      </c>
      <c r="G11" s="75" cm="1">
        <f t="array" aca="1" ref="G11" ca="1">IF(BSPutImVol(Greeks!$R$6,VolatilitySurface!$B11,Greeks!$D$3,Greeks!$D$4,VolatilitySurface!G$26,VLOOKUP($B11,INDIRECT("'"&amp;G$2&amp;"'!I2:K45"),3))&gt;0.001,BSPutImVol(Greeks!$R$6,VolatilitySurface!$B11,Greeks!$D$3,Greeks!$D$4,VolatilitySurface!G$26,VLOOKUP($B11,INDIRECT("'"&amp;G$2&amp;"'!I2:K45"),3)),"")</f>
        <v>0.26525679975748062</v>
      </c>
      <c r="H11" s="75" cm="1">
        <f t="array" aca="1" ref="H11" ca="1">IF(BSPutImVol(Greeks!$R$6,VolatilitySurface!$B11,Greeks!$D$3,Greeks!$D$4,VolatilitySurface!H$26,VLOOKUP($B11,INDIRECT("'"&amp;H$2&amp;"'!I2:K45"),3))&gt;0.001,BSPutImVol(Greeks!$R$6,VolatilitySurface!$B11,Greeks!$D$3,Greeks!$D$4,VolatilitySurface!H$26,VLOOKUP($B11,INDIRECT("'"&amp;H$2&amp;"'!I2:K45"),3)),"")</f>
        <v>0.26163365691900253</v>
      </c>
      <c r="I11" s="75" cm="1">
        <f t="array" aca="1" ref="I11" ca="1">IF(BSPutImVol(Greeks!$R$6,VolatilitySurface!$B11,Greeks!$D$3,Greeks!$D$4,VolatilitySurface!I$26,VLOOKUP($B11,INDIRECT("'"&amp;I$2&amp;"'!I2:K45"),3))&gt;0.001,BSPutImVol(Greeks!$R$6,VolatilitySurface!$B11,Greeks!$D$3,Greeks!$D$4,VolatilitySurface!I$26,VLOOKUP($B11,INDIRECT("'"&amp;I$2&amp;"'!I2:K45"),3)),"")</f>
        <v>0.25986108928918839</v>
      </c>
      <c r="J11" s="75" cm="1">
        <f t="array" aca="1" ref="J11" ca="1">IF(BSPutImVol(Greeks!$R$6,VolatilitySurface!$B11,Greeks!$D$3,Greeks!$D$4,VolatilitySurface!J$26,VLOOKUP($B11,INDIRECT("'"&amp;J$2&amp;"'!I2:K45"),3))&gt;0.001,BSPutImVol(Greeks!$R$6,VolatilitySurface!$B11,Greeks!$D$3,Greeks!$D$4,VolatilitySurface!J$26,VLOOKUP($B11,INDIRECT("'"&amp;J$2&amp;"'!I2:K45"),3)),"")</f>
        <v>0.2714398130774498</v>
      </c>
      <c r="K11" s="75" cm="1">
        <f t="array" aca="1" ref="K11" ca="1">IF(BSPutImVol(Greeks!$R$6,VolatilitySurface!$B11,Greeks!$D$3,Greeks!$D$4,VolatilitySurface!K$26,VLOOKUP($B11,INDIRECT("'"&amp;K$2&amp;"'!I2:K45"),3))&gt;0.001,BSPutImVol(Greeks!$R$6,VolatilitySurface!$B11,Greeks!$D$3,Greeks!$D$4,VolatilitySurface!K$26,VLOOKUP($B11,INDIRECT("'"&amp;K$2&amp;"'!I2:K45"),3)),"")</f>
        <v>0.2653614804148674</v>
      </c>
      <c r="L11" s="75" cm="1">
        <f t="array" aca="1" ref="L11" ca="1">IF(BSPutImVol(Greeks!$R$6,VolatilitySurface!$B11,Greeks!$D$3,Greeks!$D$4,VolatilitySurface!L$26,VLOOKUP($B11,INDIRECT("'"&amp;L$2&amp;"'!I2:K45"),3))&gt;0.001,BSPutImVol(Greeks!$R$6,VolatilitySurface!$B11,Greeks!$D$3,Greeks!$D$4,VolatilitySurface!L$26,VLOOKUP($B11,INDIRECT("'"&amp;L$2&amp;"'!I2:K45"),3)),"")</f>
        <v>0.26648860424757004</v>
      </c>
      <c r="M11" s="75" cm="1">
        <f t="array" aca="1" ref="M11" ca="1">IF(BSPutImVol(Greeks!$R$6,VolatilitySurface!$B11,Greeks!$D$3,Greeks!$D$4,VolatilitySurface!M$26,VLOOKUP($B11,INDIRECT("'"&amp;M$2&amp;"'!I2:K45"),3))&gt;0.001,BSPutImVol(Greeks!$R$6,VolatilitySurface!$B11,Greeks!$D$3,Greeks!$D$4,VolatilitySurface!M$26,VLOOKUP($B11,INDIRECT("'"&amp;M$2&amp;"'!I2:K45"),3)),"")</f>
        <v>0.26858221739530563</v>
      </c>
      <c r="N11" s="75" cm="1">
        <f t="array" aca="1" ref="N11" ca="1">IF(BSPutImVol(Greeks!$R$6,VolatilitySurface!$B11,Greeks!$D$3,Greeks!$D$4,VolatilitySurface!N$26,VLOOKUP($B11,INDIRECT("'"&amp;N$2&amp;"'!I2:K45"),3))&gt;0.001,BSPutImVol(Greeks!$R$6,VolatilitySurface!$B11,Greeks!$D$3,Greeks!$D$4,VolatilitySurface!N$26,VLOOKUP($B11,INDIRECT("'"&amp;N$2&amp;"'!I2:K45"),3)),"")</f>
        <v>0.27265403419733047</v>
      </c>
      <c r="O11" s="75" cm="1">
        <f t="array" aca="1" ref="O11" ca="1">IF(BSPutImVol(Greeks!$R$6,VolatilitySurface!$B11,Greeks!$D$3,Greeks!$D$4,VolatilitySurface!O$26,VLOOKUP($B11,INDIRECT("'"&amp;O$2&amp;"'!I2:K45"),3))&gt;0.001,BSPutImVol(Greeks!$R$6,VolatilitySurface!$B11,Greeks!$D$3,Greeks!$D$4,VolatilitySurface!O$26,VLOOKUP($B11,INDIRECT("'"&amp;O$2&amp;"'!I2:K45"),3)),"")</f>
        <v>0.27705978602170944</v>
      </c>
    </row>
    <row r="12" spans="1:29" ht="17" customHeight="1" x14ac:dyDescent="0.2">
      <c r="A12" s="110"/>
      <c r="B12" s="78">
        <v>235</v>
      </c>
      <c r="C12" s="75" cm="1">
        <f t="array" aca="1" ref="C12" ca="1">IF(BSPutImVol(Greeks!$R$6,VolatilitySurface!$B12,Greeks!$D$3,Greeks!$D$4,VolatilitySurface!C$26,VLOOKUP($B12,INDIRECT("'"&amp;C$2&amp;"'!I2:K45"),3))&gt;0.001,BSPutImVol(Greeks!$R$6,VolatilitySurface!$B12,Greeks!$D$3,Greeks!$D$4,VolatilitySurface!C$26,VLOOKUP($B12,INDIRECT("'"&amp;C$2&amp;"'!I2:K45"),3)),"")</f>
        <v>0.30010242015123367</v>
      </c>
      <c r="D12" s="75" cm="1">
        <f t="array" aca="1" ref="D12" ca="1">IF(BSPutImVol(Greeks!$R$6,VolatilitySurface!$B12,Greeks!$D$3,Greeks!$D$4,VolatilitySurface!D$26,VLOOKUP($B12,INDIRECT("'"&amp;D$2&amp;"'!I2:K45"),3))&gt;0.001,BSPutImVol(Greeks!$R$6,VolatilitySurface!$B12,Greeks!$D$3,Greeks!$D$4,VolatilitySurface!D$26,VLOOKUP($B12,INDIRECT("'"&amp;D$2&amp;"'!I2:K45"),3)),"")</f>
        <v>0.28278548270463943</v>
      </c>
      <c r="E12" s="75" cm="1">
        <f t="array" aca="1" ref="E12" ca="1">IF(BSPutImVol(Greeks!$R$6,VolatilitySurface!$B12,Greeks!$D$3,Greeks!$D$4,VolatilitySurface!E$26,VLOOKUP($B12,INDIRECT("'"&amp;E$2&amp;"'!I2:K45"),3))&gt;0.001,BSPutImVol(Greeks!$R$6,VolatilitySurface!$B12,Greeks!$D$3,Greeks!$D$4,VolatilitySurface!E$26,VLOOKUP($B12,INDIRECT("'"&amp;E$2&amp;"'!I2:K45"),3)),"")</f>
        <v>0.26756126433610916</v>
      </c>
      <c r="F12" s="75" cm="1">
        <f t="array" aca="1" ref="F12" ca="1">IF(BSPutImVol(Greeks!$R$6,VolatilitySurface!$B12,Greeks!$D$3,Greeks!$D$4,VolatilitySurface!F$26,VLOOKUP($B12,INDIRECT("'"&amp;F$2&amp;"'!I2:K45"),3))&gt;0.001,BSPutImVol(Greeks!$R$6,VolatilitySurface!$B12,Greeks!$D$3,Greeks!$D$4,VolatilitySurface!F$26,VLOOKUP($B12,INDIRECT("'"&amp;F$2&amp;"'!I2:K45"),3)),"")</f>
        <v>0.26154305785894394</v>
      </c>
      <c r="G12" s="75" cm="1">
        <f t="array" aca="1" ref="G12" ca="1">IF(BSPutImVol(Greeks!$R$6,VolatilitySurface!$B12,Greeks!$D$3,Greeks!$D$4,VolatilitySurface!G$26,VLOOKUP($B12,INDIRECT("'"&amp;G$2&amp;"'!I2:K45"),3))&gt;0.001,BSPutImVol(Greeks!$R$6,VolatilitySurface!$B12,Greeks!$D$3,Greeks!$D$4,VolatilitySurface!G$26,VLOOKUP($B12,INDIRECT("'"&amp;G$2&amp;"'!I2:K45"),3)),"")</f>
        <v>0.28100084513425827</v>
      </c>
      <c r="H12" s="75" cm="1">
        <f t="array" aca="1" ref="H12" ca="1">IF(BSPutImVol(Greeks!$R$6,VolatilitySurface!$B12,Greeks!$D$3,Greeks!$D$4,VolatilitySurface!H$26,VLOOKUP($B12,INDIRECT("'"&amp;H$2&amp;"'!I2:K45"),3))&gt;0.001,BSPutImVol(Greeks!$R$6,VolatilitySurface!$B12,Greeks!$D$3,Greeks!$D$4,VolatilitySurface!H$26,VLOOKUP($B12,INDIRECT("'"&amp;H$2&amp;"'!I2:K45"),3)),"")</f>
        <v>0.25147024542093277</v>
      </c>
      <c r="I12" s="75" cm="1">
        <f t="array" aca="1" ref="I12" ca="1">IF(BSPutImVol(Greeks!$R$6,VolatilitySurface!$B12,Greeks!$D$3,Greeks!$D$4,VolatilitySurface!I$26,VLOOKUP($B12,INDIRECT("'"&amp;I$2&amp;"'!I2:K45"),3))&gt;0.001,BSPutImVol(Greeks!$R$6,VolatilitySurface!$B12,Greeks!$D$3,Greeks!$D$4,VolatilitySurface!I$26,VLOOKUP($B12,INDIRECT("'"&amp;I$2&amp;"'!I2:K45"),3)),"")</f>
        <v>0.25340791791677475</v>
      </c>
      <c r="J12" s="75" cm="1">
        <f t="array" aca="1" ref="J12" ca="1">IF(BSPutImVol(Greeks!$R$6,VolatilitySurface!$B12,Greeks!$D$3,Greeks!$D$4,VolatilitySurface!J$26,VLOOKUP($B12,INDIRECT("'"&amp;J$2&amp;"'!I2:K45"),3))&gt;0.001,BSPutImVol(Greeks!$R$6,VolatilitySurface!$B12,Greeks!$D$3,Greeks!$D$4,VolatilitySurface!J$26,VLOOKUP($B12,INDIRECT("'"&amp;J$2&amp;"'!I2:K45"),3)),"")</f>
        <v>0.26871327310800552</v>
      </c>
      <c r="K12" s="75" cm="1">
        <f t="array" aca="1" ref="K12" ca="1">IF(BSPutImVol(Greeks!$R$6,VolatilitySurface!$B12,Greeks!$D$3,Greeks!$D$4,VolatilitySurface!K$26,VLOOKUP($B12,INDIRECT("'"&amp;K$2&amp;"'!I2:K45"),3))&gt;0.001,BSPutImVol(Greeks!$R$6,VolatilitySurface!$B12,Greeks!$D$3,Greeks!$D$4,VolatilitySurface!K$26,VLOOKUP($B12,INDIRECT("'"&amp;K$2&amp;"'!I2:K45"),3)),"")</f>
        <v>0.25746818631887436</v>
      </c>
      <c r="L12" s="75" cm="1">
        <f t="array" aca="1" ref="L12" ca="1">IF(BSPutImVol(Greeks!$R$6,VolatilitySurface!$B12,Greeks!$D$3,Greeks!$D$4,VolatilitySurface!L$26,VLOOKUP($B12,INDIRECT("'"&amp;L$2&amp;"'!I2:K45"),3))&gt;0.001,BSPutImVol(Greeks!$R$6,VolatilitySurface!$B12,Greeks!$D$3,Greeks!$D$4,VolatilitySurface!L$26,VLOOKUP($B12,INDIRECT("'"&amp;L$2&amp;"'!I2:K45"),3)),"")</f>
        <v>0.2629220113158226</v>
      </c>
      <c r="M12" s="75" cm="1">
        <f t="array" aca="1" ref="M12" ca="1">IF(BSPutImVol(Greeks!$R$6,VolatilitySurface!$B12,Greeks!$D$3,Greeks!$D$4,VolatilitySurface!M$26,VLOOKUP($B12,INDIRECT("'"&amp;M$2&amp;"'!I2:K45"),3))&gt;0.001,BSPutImVol(Greeks!$R$6,VolatilitySurface!$B12,Greeks!$D$3,Greeks!$D$4,VolatilitySurface!M$26,VLOOKUP($B12,INDIRECT("'"&amp;M$2&amp;"'!I2:K45"),3)),"")</f>
        <v>0.26628356426954269</v>
      </c>
      <c r="N12" s="75" cm="1">
        <f t="array" aca="1" ref="N12" ca="1">IF(BSPutImVol(Greeks!$R$6,VolatilitySurface!$B12,Greeks!$D$3,Greeks!$D$4,VolatilitySurface!N$26,VLOOKUP($B12,INDIRECT("'"&amp;N$2&amp;"'!I2:K45"),3))&gt;0.001,BSPutImVol(Greeks!$R$6,VolatilitySurface!$B12,Greeks!$D$3,Greeks!$D$4,VolatilitySurface!N$26,VLOOKUP($B12,INDIRECT("'"&amp;N$2&amp;"'!I2:K45"),3)),"")</f>
        <v>0.28563681989908218</v>
      </c>
      <c r="O12" s="75" cm="1">
        <f t="array" aca="1" ref="O12" ca="1">IF(BSPutImVol(Greeks!$R$6,VolatilitySurface!$B12,Greeks!$D$3,Greeks!$D$4,VolatilitySurface!O$26,VLOOKUP($B12,INDIRECT("'"&amp;O$2&amp;"'!I2:K45"),3))&gt;0.001,BSPutImVol(Greeks!$R$6,VolatilitySurface!$B12,Greeks!$D$3,Greeks!$D$4,VolatilitySurface!O$26,VLOOKUP($B12,INDIRECT("'"&amp;O$2&amp;"'!I2:K45"),3)),"")</f>
        <v>0.27517851442098618</v>
      </c>
    </row>
    <row r="13" spans="1:29" x14ac:dyDescent="0.2">
      <c r="A13" s="110"/>
      <c r="B13" s="78">
        <v>240</v>
      </c>
      <c r="C13" s="75" cm="1">
        <f t="array" aca="1" ref="C13" ca="1">IF(BSPutImVol(Greeks!$R$6,VolatilitySurface!$B13,Greeks!$D$3,Greeks!$D$4,VolatilitySurface!C$26,VLOOKUP($B13,INDIRECT("'"&amp;C$2&amp;"'!I2:K45"),3))&gt;0.001,BSPutImVol(Greeks!$R$6,VolatilitySurface!$B13,Greeks!$D$3,Greeks!$D$4,VolatilitySurface!C$26,VLOOKUP($B13,INDIRECT("'"&amp;C$2&amp;"'!I2:K45"),3)),"")</f>
        <v>0.27824621647596359</v>
      </c>
      <c r="D13" s="75" cm="1">
        <f t="array" aca="1" ref="D13" ca="1">IF(BSPutImVol(Greeks!$R$6,VolatilitySurface!$B13,Greeks!$D$3,Greeks!$D$4,VolatilitySurface!D$26,VLOOKUP($B13,INDIRECT("'"&amp;D$2&amp;"'!I2:K45"),3))&gt;0.001,BSPutImVol(Greeks!$R$6,VolatilitySurface!$B13,Greeks!$D$3,Greeks!$D$4,VolatilitySurface!D$26,VLOOKUP($B13,INDIRECT("'"&amp;D$2&amp;"'!I2:K45"),3)),"")</f>
        <v>0.26121366769075394</v>
      </c>
      <c r="E13" s="75" cm="1">
        <f t="array" aca="1" ref="E13" ca="1">IF(BSPutImVol(Greeks!$R$6,VolatilitySurface!$B13,Greeks!$D$3,Greeks!$D$4,VolatilitySurface!E$26,VLOOKUP($B13,INDIRECT("'"&amp;E$2&amp;"'!I2:K45"),3))&gt;0.001,BSPutImVol(Greeks!$R$6,VolatilitySurface!$B13,Greeks!$D$3,Greeks!$D$4,VolatilitySurface!E$26,VLOOKUP($B13,INDIRECT("'"&amp;E$2&amp;"'!I2:K45"),3)),"")</f>
        <v>0.25612447410821915</v>
      </c>
      <c r="F13" s="75" cm="1">
        <f t="array" aca="1" ref="F13" ca="1">IF(BSPutImVol(Greeks!$R$6,VolatilitySurface!$B13,Greeks!$D$3,Greeks!$D$4,VolatilitySurface!F$26,VLOOKUP($B13,INDIRECT("'"&amp;F$2&amp;"'!I2:K45"),3))&gt;0.001,BSPutImVol(Greeks!$R$6,VolatilitySurface!$B13,Greeks!$D$3,Greeks!$D$4,VolatilitySurface!F$26,VLOOKUP($B13,INDIRECT("'"&amp;F$2&amp;"'!I2:K45"),3)),"")</f>
        <v>0.24793092161417007</v>
      </c>
      <c r="G13" s="75" cm="1">
        <f t="array" aca="1" ref="G13" ca="1">IF(BSPutImVol(Greeks!$R$6,VolatilitySurface!$B13,Greeks!$D$3,Greeks!$D$4,VolatilitySurface!G$26,VLOOKUP($B13,INDIRECT("'"&amp;G$2&amp;"'!I2:K45"),3))&gt;0.001,BSPutImVol(Greeks!$R$6,VolatilitySurface!$B13,Greeks!$D$3,Greeks!$D$4,VolatilitySurface!G$26,VLOOKUP($B13,INDIRECT("'"&amp;G$2&amp;"'!I2:K45"),3)),"")</f>
        <v>0.26634927839040756</v>
      </c>
      <c r="H13" s="75" cm="1">
        <f t="array" aca="1" ref="H13" ca="1">IF(BSPutImVol(Greeks!$R$6,VolatilitySurface!$B13,Greeks!$D$3,Greeks!$D$4,VolatilitySurface!H$26,VLOOKUP($B13,INDIRECT("'"&amp;H$2&amp;"'!I2:K45"),3))&gt;0.001,BSPutImVol(Greeks!$R$6,VolatilitySurface!$B13,Greeks!$D$3,Greeks!$D$4,VolatilitySurface!H$26,VLOOKUP($B13,INDIRECT("'"&amp;H$2&amp;"'!I2:K45"),3)),"")</f>
        <v>0.24698439985513687</v>
      </c>
      <c r="I13" s="75" cm="1">
        <f t="array" aca="1" ref="I13" ca="1">IF(BSPutImVol(Greeks!$R$6,VolatilitySurface!$B13,Greeks!$D$3,Greeks!$D$4,VolatilitySurface!I$26,VLOOKUP($B13,INDIRECT("'"&amp;I$2&amp;"'!I2:K45"),3))&gt;0.001,BSPutImVol(Greeks!$R$6,VolatilitySurface!$B13,Greeks!$D$3,Greeks!$D$4,VolatilitySurface!I$26,VLOOKUP($B13,INDIRECT("'"&amp;I$2&amp;"'!I2:K45"),3)),"")</f>
        <v>0.241653211414814</v>
      </c>
      <c r="J13" s="75" cm="1">
        <f t="array" aca="1" ref="J13" ca="1">IF(BSPutImVol(Greeks!$R$6,VolatilitySurface!$B13,Greeks!$D$3,Greeks!$D$4,VolatilitySurface!J$26,VLOOKUP($B13,INDIRECT("'"&amp;J$2&amp;"'!I2:K45"),3))&gt;0.001,BSPutImVol(Greeks!$R$6,VolatilitySurface!$B13,Greeks!$D$3,Greeks!$D$4,VolatilitySurface!J$26,VLOOKUP($B13,INDIRECT("'"&amp;J$2&amp;"'!I2:K45"),3)),"")</f>
        <v>0.25091160088777542</v>
      </c>
      <c r="K13" s="75" cm="1">
        <f t="array" aca="1" ref="K13" ca="1">IF(BSPutImVol(Greeks!$R$6,VolatilitySurface!$B13,Greeks!$D$3,Greeks!$D$4,VolatilitySurface!K$26,VLOOKUP($B13,INDIRECT("'"&amp;K$2&amp;"'!I2:K45"),3))&gt;0.001,BSPutImVol(Greeks!$R$6,VolatilitySurface!$B13,Greeks!$D$3,Greeks!$D$4,VolatilitySurface!K$26,VLOOKUP($B13,INDIRECT("'"&amp;K$2&amp;"'!I2:K45"),3)),"")</f>
        <v>0.25798093527555466</v>
      </c>
      <c r="L13" s="75" cm="1">
        <f t="array" aca="1" ref="L13" ca="1">IF(BSPutImVol(Greeks!$R$6,VolatilitySurface!$B13,Greeks!$D$3,Greeks!$D$4,VolatilitySurface!L$26,VLOOKUP($B13,INDIRECT("'"&amp;L$2&amp;"'!I2:K45"),3))&gt;0.001,BSPutImVol(Greeks!$R$6,VolatilitySurface!$B13,Greeks!$D$3,Greeks!$D$4,VolatilitySurface!L$26,VLOOKUP($B13,INDIRECT("'"&amp;L$2&amp;"'!I2:K45"),3)),"")</f>
        <v>0.25958117097616196</v>
      </c>
      <c r="M13" s="75" cm="1">
        <f t="array" aca="1" ref="M13" ca="1">IF(BSPutImVol(Greeks!$R$6,VolatilitySurface!$B13,Greeks!$D$3,Greeks!$D$4,VolatilitySurface!M$26,VLOOKUP($B13,INDIRECT("'"&amp;M$2&amp;"'!I2:K45"),3))&gt;0.001,BSPutImVol(Greeks!$R$6,VolatilitySurface!$B13,Greeks!$D$3,Greeks!$D$4,VolatilitySurface!M$26,VLOOKUP($B13,INDIRECT("'"&amp;M$2&amp;"'!I2:K45"),3)),"")</f>
        <v>0.26567164808511734</v>
      </c>
      <c r="N13" s="75" cm="1">
        <f t="array" aca="1" ref="N13" ca="1">IF(BSPutImVol(Greeks!$R$6,VolatilitySurface!$B13,Greeks!$D$3,Greeks!$D$4,VolatilitySurface!N$26,VLOOKUP($B13,INDIRECT("'"&amp;N$2&amp;"'!I2:K45"),3))&gt;0.001,BSPutImVol(Greeks!$R$6,VolatilitySurface!$B13,Greeks!$D$3,Greeks!$D$4,VolatilitySurface!N$26,VLOOKUP($B13,INDIRECT("'"&amp;N$2&amp;"'!I2:K45"),3)),"")</f>
        <v>0.26980232447385788</v>
      </c>
      <c r="O13" s="75" cm="1">
        <f t="array" aca="1" ref="O13" ca="1">IF(BSPutImVol(Greeks!$R$6,VolatilitySurface!$B13,Greeks!$D$3,Greeks!$D$4,VolatilitySurface!O$26,VLOOKUP($B13,INDIRECT("'"&amp;O$2&amp;"'!I2:K45"),3))&gt;0.001,BSPutImVol(Greeks!$R$6,VolatilitySurface!$B13,Greeks!$D$3,Greeks!$D$4,VolatilitySurface!O$26,VLOOKUP($B13,INDIRECT("'"&amp;O$2&amp;"'!I2:K45"),3)),"")</f>
        <v>0.28701994568109512</v>
      </c>
    </row>
    <row r="14" spans="1:29" x14ac:dyDescent="0.2">
      <c r="A14" s="110"/>
      <c r="B14" s="78">
        <v>245</v>
      </c>
      <c r="C14" s="75" cm="1">
        <f t="array" aca="1" ref="C14" ca="1">IF(BSPutImVol(Greeks!$R$6,VolatilitySurface!$B14,Greeks!$D$3,Greeks!$D$4,VolatilitySurface!C$26,VLOOKUP($B14,INDIRECT("'"&amp;C$2&amp;"'!I2:K45"),3))&gt;0.001,BSPutImVol(Greeks!$R$6,VolatilitySurface!$B14,Greeks!$D$3,Greeks!$D$4,VolatilitySurface!C$26,VLOOKUP($B14,INDIRECT("'"&amp;C$2&amp;"'!I2:K45"),3)),"")</f>
        <v>0.2624892070889473</v>
      </c>
      <c r="D14" s="75" cm="1">
        <f t="array" aca="1" ref="D14" ca="1">IF(BSPutImVol(Greeks!$R$6,VolatilitySurface!$B14,Greeks!$D$3,Greeks!$D$4,VolatilitySurface!D$26,VLOOKUP($B14,INDIRECT("'"&amp;D$2&amp;"'!I2:K45"),3))&gt;0.001,BSPutImVol(Greeks!$R$6,VolatilitySurface!$B14,Greeks!$D$3,Greeks!$D$4,VolatilitySurface!D$26,VLOOKUP($B14,INDIRECT("'"&amp;D$2&amp;"'!I2:K45"),3)),"")</f>
        <v>0.25327879935503006</v>
      </c>
      <c r="E14" s="75" cm="1">
        <f t="array" aca="1" ref="E14" ca="1">IF(BSPutImVol(Greeks!$R$6,VolatilitySurface!$B14,Greeks!$D$3,Greeks!$D$4,VolatilitySurface!E$26,VLOOKUP($B14,INDIRECT("'"&amp;E$2&amp;"'!I2:K45"),3))&gt;0.001,BSPutImVol(Greeks!$R$6,VolatilitySurface!$B14,Greeks!$D$3,Greeks!$D$4,VolatilitySurface!E$26,VLOOKUP($B14,INDIRECT("'"&amp;E$2&amp;"'!I2:K45"),3)),"")</f>
        <v>0.26882600039243698</v>
      </c>
      <c r="F14" s="75" cm="1">
        <f t="array" aca="1" ref="F14" ca="1">IF(BSPutImVol(Greeks!$R$6,VolatilitySurface!$B14,Greeks!$D$3,Greeks!$D$4,VolatilitySurface!F$26,VLOOKUP($B14,INDIRECT("'"&amp;F$2&amp;"'!I2:K45"),3))&gt;0.001,BSPutImVol(Greeks!$R$6,VolatilitySurface!$B14,Greeks!$D$3,Greeks!$D$4,VolatilitySurface!F$26,VLOOKUP($B14,INDIRECT("'"&amp;F$2&amp;"'!I2:K45"),3)),"")</f>
        <v>0.23705702275037766</v>
      </c>
      <c r="G14" s="75" cm="1">
        <f t="array" aca="1" ref="G14" ca="1">IF(BSPutImVol(Greeks!$R$6,VolatilitySurface!$B14,Greeks!$D$3,Greeks!$D$4,VolatilitySurface!G$26,VLOOKUP($B14,INDIRECT("'"&amp;G$2&amp;"'!I2:K45"),3))&gt;0.001,BSPutImVol(Greeks!$R$6,VolatilitySurface!$B14,Greeks!$D$3,Greeks!$D$4,VolatilitySurface!G$26,VLOOKUP($B14,INDIRECT("'"&amp;G$2&amp;"'!I2:K45"),3)),"")</f>
        <v>0.26399757713079453</v>
      </c>
      <c r="H14" s="75" cm="1">
        <f t="array" aca="1" ref="H14" ca="1">IF(BSPutImVol(Greeks!$R$6,VolatilitySurface!$B14,Greeks!$D$3,Greeks!$D$4,VolatilitySurface!H$26,VLOOKUP($B14,INDIRECT("'"&amp;H$2&amp;"'!I2:K45"),3))&gt;0.001,BSPutImVol(Greeks!$R$6,VolatilitySurface!$B14,Greeks!$D$3,Greeks!$D$4,VolatilitySurface!H$26,VLOOKUP($B14,INDIRECT("'"&amp;H$2&amp;"'!I2:K45"),3)),"")</f>
        <v>0.23939456790685654</v>
      </c>
      <c r="I14" s="75" cm="1">
        <f t="array" aca="1" ref="I14" ca="1">IF(BSPutImVol(Greeks!$R$6,VolatilitySurface!$B14,Greeks!$D$3,Greeks!$D$4,VolatilitySurface!I$26,VLOOKUP($B14,INDIRECT("'"&amp;I$2&amp;"'!I2:K45"),3))&gt;0.001,BSPutImVol(Greeks!$R$6,VolatilitySurface!$B14,Greeks!$D$3,Greeks!$D$4,VolatilitySurface!I$26,VLOOKUP($B14,INDIRECT("'"&amp;I$2&amp;"'!I2:K45"),3)),"")</f>
        <v>0.23480411618947983</v>
      </c>
      <c r="J14" s="75" cm="1">
        <f t="array" aca="1" ref="J14" ca="1">IF(BSPutImVol(Greeks!$R$6,VolatilitySurface!$B14,Greeks!$D$3,Greeks!$D$4,VolatilitySurface!J$26,VLOOKUP($B14,INDIRECT("'"&amp;J$2&amp;"'!I2:K45"),3))&gt;0.001,BSPutImVol(Greeks!$R$6,VolatilitySurface!$B14,Greeks!$D$3,Greeks!$D$4,VolatilitySurface!J$26,VLOOKUP($B14,INDIRECT("'"&amp;J$2&amp;"'!I2:K45"),3)),"")</f>
        <v>0.2485959604382515</v>
      </c>
      <c r="K14" s="75" cm="1">
        <f t="array" aca="1" ref="K14" ca="1">IF(BSPutImVol(Greeks!$R$6,VolatilitySurface!$B14,Greeks!$D$3,Greeks!$D$4,VolatilitySurface!K$26,VLOOKUP($B14,INDIRECT("'"&amp;K$2&amp;"'!I2:K45"),3))&gt;0.001,BSPutImVol(Greeks!$R$6,VolatilitySurface!$B14,Greeks!$D$3,Greeks!$D$4,VolatilitySurface!K$26,VLOOKUP($B14,INDIRECT("'"&amp;K$2&amp;"'!I2:K45"),3)),"")</f>
        <v>0.25067273527383804</v>
      </c>
      <c r="L14" s="75" cm="1">
        <f t="array" aca="1" ref="L14" ca="1">IF(BSPutImVol(Greeks!$R$6,VolatilitySurface!$B14,Greeks!$D$3,Greeks!$D$4,VolatilitySurface!L$26,VLOOKUP($B14,INDIRECT("'"&amp;L$2&amp;"'!I2:K45"),3))&gt;0.001,BSPutImVol(Greeks!$R$6,VolatilitySurface!$B14,Greeks!$D$3,Greeks!$D$4,VolatilitySurface!L$26,VLOOKUP($B14,INDIRECT("'"&amp;L$2&amp;"'!I2:K45"),3)),"")</f>
        <v>0.2548937126994133</v>
      </c>
      <c r="M14" s="75" cm="1">
        <f t="array" aca="1" ref="M14" ca="1">IF(BSPutImVol(Greeks!$R$6,VolatilitySurface!$B14,Greeks!$D$3,Greeks!$D$4,VolatilitySurface!M$26,VLOOKUP($B14,INDIRECT("'"&amp;M$2&amp;"'!I2:K45"),3))&gt;0.001,BSPutImVol(Greeks!$R$6,VolatilitySurface!$B14,Greeks!$D$3,Greeks!$D$4,VolatilitySurface!M$26,VLOOKUP($B14,INDIRECT("'"&amp;M$2&amp;"'!I2:K45"),3)),"")</f>
        <v>0.26025008410215378</v>
      </c>
      <c r="N14" s="75" cm="1">
        <f t="array" aca="1" ref="N14" ca="1">IF(BSPutImVol(Greeks!$R$6,VolatilitySurface!$B14,Greeks!$D$3,Greeks!$D$4,VolatilitySurface!N$26,VLOOKUP($B14,INDIRECT("'"&amp;N$2&amp;"'!I2:K45"),3))&gt;0.001,BSPutImVol(Greeks!$R$6,VolatilitySurface!$B14,Greeks!$D$3,Greeks!$D$4,VolatilitySurface!N$26,VLOOKUP($B14,INDIRECT("'"&amp;N$2&amp;"'!I2:K45"),3)),"")</f>
        <v>0.26789423078298569</v>
      </c>
      <c r="O14" s="75" cm="1">
        <f t="array" aca="1" ref="O14" ca="1">IF(BSPutImVol(Greeks!$R$6,VolatilitySurface!$B14,Greeks!$D$3,Greeks!$D$4,VolatilitySurface!O$26,VLOOKUP($B14,INDIRECT("'"&amp;O$2&amp;"'!I2:K45"),3))&gt;0.001,BSPutImVol(Greeks!$R$6,VolatilitySurface!$B14,Greeks!$D$3,Greeks!$D$4,VolatilitySurface!O$26,VLOOKUP($B14,INDIRECT("'"&amp;O$2&amp;"'!I2:K45"),3)),"")</f>
        <v>0.28380397707223892</v>
      </c>
    </row>
    <row r="15" spans="1:29" x14ac:dyDescent="0.2">
      <c r="A15" s="110"/>
      <c r="B15" s="78">
        <v>250</v>
      </c>
      <c r="C15" s="75" cm="1">
        <f t="array" aca="1" ref="C15" ca="1">IF(BSPutImVol(Greeks!$R$6,VolatilitySurface!$B15,Greeks!$D$3,Greeks!$D$4,VolatilitySurface!C$26,VLOOKUP($B15,INDIRECT("'"&amp;C$2&amp;"'!I2:K45"),3))&gt;0.001,BSPutImVol(Greeks!$R$6,VolatilitySurface!$B15,Greeks!$D$3,Greeks!$D$4,VolatilitySurface!C$26,VLOOKUP($B15,INDIRECT("'"&amp;C$2&amp;"'!I2:K45"),3)),"")</f>
        <v>0.24685408920049667</v>
      </c>
      <c r="D15" s="75" cm="1">
        <f t="array" aca="1" ref="D15" ca="1">IF(BSPutImVol(Greeks!$R$6,VolatilitySurface!$B15,Greeks!$D$3,Greeks!$D$4,VolatilitySurface!D$26,VLOOKUP($B15,INDIRECT("'"&amp;D$2&amp;"'!I2:K45"),3))&gt;0.001,BSPutImVol(Greeks!$R$6,VolatilitySurface!$B15,Greeks!$D$3,Greeks!$D$4,VolatilitySurface!D$26,VLOOKUP($B15,INDIRECT("'"&amp;D$2&amp;"'!I2:K45"),3)),"")</f>
        <v>0.23926440626382828</v>
      </c>
      <c r="E15" s="75" cm="1">
        <f t="array" aca="1" ref="E15" ca="1">IF(BSPutImVol(Greeks!$R$6,VolatilitySurface!$B15,Greeks!$D$3,Greeks!$D$4,VolatilitySurface!E$26,VLOOKUP($B15,INDIRECT("'"&amp;E$2&amp;"'!I2:K45"),3))&gt;0.001,BSPutImVol(Greeks!$R$6,VolatilitySurface!$B15,Greeks!$D$3,Greeks!$D$4,VolatilitySurface!E$26,VLOOKUP($B15,INDIRECT("'"&amp;E$2&amp;"'!I2:K45"),3)),"")</f>
        <v>0.26117715984582901</v>
      </c>
      <c r="F15" s="75" cm="1">
        <f t="array" aca="1" ref="F15" ca="1">IF(BSPutImVol(Greeks!$R$6,VolatilitySurface!$B15,Greeks!$D$3,Greeks!$D$4,VolatilitySurface!F$26,VLOOKUP($B15,INDIRECT("'"&amp;F$2&amp;"'!I2:K45"),3))&gt;0.001,BSPutImVol(Greeks!$R$6,VolatilitySurface!$B15,Greeks!$D$3,Greeks!$D$4,VolatilitySurface!F$26,VLOOKUP($B15,INDIRECT("'"&amp;F$2&amp;"'!I2:K45"),3)),"")</f>
        <v>0.22706296294927597</v>
      </c>
      <c r="G15" s="75" cm="1">
        <f t="array" aca="1" ref="G15" ca="1">IF(BSPutImVol(Greeks!$R$6,VolatilitySurface!$B15,Greeks!$D$3,Greeks!$D$4,VolatilitySurface!G$26,VLOOKUP($B15,INDIRECT("'"&amp;G$2&amp;"'!I2:K45"),3))&gt;0.001,BSPutImVol(Greeks!$R$6,VolatilitySurface!$B15,Greeks!$D$3,Greeks!$D$4,VolatilitySurface!G$26,VLOOKUP($B15,INDIRECT("'"&amp;G$2&amp;"'!I2:K45"),3)),"")</f>
        <v>0.26116225868463516</v>
      </c>
      <c r="H15" s="75" cm="1">
        <f t="array" aca="1" ref="H15" ca="1">IF(BSPutImVol(Greeks!$R$6,VolatilitySurface!$B15,Greeks!$D$3,Greeks!$D$4,VolatilitySurface!H$26,VLOOKUP($B15,INDIRECT("'"&amp;H$2&amp;"'!I2:K45"),3))&gt;0.001,BSPutImVol(Greeks!$R$6,VolatilitySurface!$B15,Greeks!$D$3,Greeks!$D$4,VolatilitySurface!H$26,VLOOKUP($B15,INDIRECT("'"&amp;H$2&amp;"'!I2:K45"),3)),"")</f>
        <v>0.23192565888166428</v>
      </c>
      <c r="I15" s="75" cm="1">
        <f t="array" aca="1" ref="I15" ca="1">IF(BSPutImVol(Greeks!$R$6,VolatilitySurface!$B15,Greeks!$D$3,Greeks!$D$4,VolatilitySurface!I$26,VLOOKUP($B15,INDIRECT("'"&amp;I$2&amp;"'!I2:K45"),3))&gt;0.001,BSPutImVol(Greeks!$R$6,VolatilitySurface!$B15,Greeks!$D$3,Greeks!$D$4,VolatilitySurface!I$26,VLOOKUP($B15,INDIRECT("'"&amp;I$2&amp;"'!I2:K45"),3)),"")</f>
        <v>0.22924434393644333</v>
      </c>
      <c r="J15" s="75" cm="1">
        <f t="array" aca="1" ref="J15" ca="1">IF(BSPutImVol(Greeks!$R$6,VolatilitySurface!$B15,Greeks!$D$3,Greeks!$D$4,VolatilitySurface!J$26,VLOOKUP($B15,INDIRECT("'"&amp;J$2&amp;"'!I2:K45"),3))&gt;0.001,BSPutImVol(Greeks!$R$6,VolatilitySurface!$B15,Greeks!$D$3,Greeks!$D$4,VolatilitySurface!J$26,VLOOKUP($B15,INDIRECT("'"&amp;J$2&amp;"'!I2:K45"),3)),"")</f>
        <v>0.2454022690653801</v>
      </c>
      <c r="K15" s="75" cm="1">
        <f t="array" aca="1" ref="K15" ca="1">IF(BSPutImVol(Greeks!$R$6,VolatilitySurface!$B15,Greeks!$D$3,Greeks!$D$4,VolatilitySurface!K$26,VLOOKUP($B15,INDIRECT("'"&amp;K$2&amp;"'!I2:K45"),3))&gt;0.001,BSPutImVol(Greeks!$R$6,VolatilitySurface!$B15,Greeks!$D$3,Greeks!$D$4,VolatilitySurface!K$26,VLOOKUP($B15,INDIRECT("'"&amp;K$2&amp;"'!I2:K45"),3)),"")</f>
        <v>0.24343911558389664</v>
      </c>
      <c r="L15" s="75" cm="1">
        <f t="array" aca="1" ref="L15" ca="1">IF(BSPutImVol(Greeks!$R$6,VolatilitySurface!$B15,Greeks!$D$3,Greeks!$D$4,VolatilitySurface!L$26,VLOOKUP($B15,INDIRECT("'"&amp;L$2&amp;"'!I2:K45"),3))&gt;0.001,BSPutImVol(Greeks!$R$6,VolatilitySurface!$B15,Greeks!$D$3,Greeks!$D$4,VolatilitySurface!L$26,VLOOKUP($B15,INDIRECT("'"&amp;L$2&amp;"'!I2:K45"),3)),"")</f>
        <v>0.2484530583024025</v>
      </c>
      <c r="M15" s="75" cm="1">
        <f t="array" aca="1" ref="M15" ca="1">IF(BSPutImVol(Greeks!$R$6,VolatilitySurface!$B15,Greeks!$D$3,Greeks!$D$4,VolatilitySurface!M$26,VLOOKUP($B15,INDIRECT("'"&amp;M$2&amp;"'!I2:K45"),3))&gt;0.001,BSPutImVol(Greeks!$R$6,VolatilitySurface!$B15,Greeks!$D$3,Greeks!$D$4,VolatilitySurface!M$26,VLOOKUP($B15,INDIRECT("'"&amp;M$2&amp;"'!I2:K45"),3)),"")</f>
        <v>0.25764565914869308</v>
      </c>
      <c r="N15" s="75" cm="1">
        <f t="array" aca="1" ref="N15" ca="1">IF(BSPutImVol(Greeks!$R$6,VolatilitySurface!$B15,Greeks!$D$3,Greeks!$D$4,VolatilitySurface!N$26,VLOOKUP($B15,INDIRECT("'"&amp;N$2&amp;"'!I2:K45"),3))&gt;0.001,BSPutImVol(Greeks!$R$6,VolatilitySurface!$B15,Greeks!$D$3,Greeks!$D$4,VolatilitySurface!N$26,VLOOKUP($B15,INDIRECT("'"&amp;N$2&amp;"'!I2:K45"),3)),"")</f>
        <v>0.26964899152517319</v>
      </c>
      <c r="O15" s="75" cm="1">
        <f t="array" aca="1" ref="O15" ca="1">IF(BSPutImVol(Greeks!$R$6,VolatilitySurface!$B15,Greeks!$D$3,Greeks!$D$4,VolatilitySurface!O$26,VLOOKUP($B15,INDIRECT("'"&amp;O$2&amp;"'!I2:K45"),3))&gt;0.001,BSPutImVol(Greeks!$R$6,VolatilitySurface!$B15,Greeks!$D$3,Greeks!$D$4,VolatilitySurface!O$26,VLOOKUP($B15,INDIRECT("'"&amp;O$2&amp;"'!I2:K45"),3)),"")</f>
        <v>0.26716616004705429</v>
      </c>
    </row>
    <row r="16" spans="1:29" x14ac:dyDescent="0.2">
      <c r="A16" s="110"/>
      <c r="B16" s="78">
        <v>255</v>
      </c>
      <c r="C16" s="75" cm="1">
        <f t="array" aca="1" ref="C16" ca="1">IF(BSPutImVol(Greeks!$R$6,VolatilitySurface!$B16,Greeks!$D$3,Greeks!$D$4,VolatilitySurface!C$26,VLOOKUP($B16,INDIRECT("'"&amp;C$2&amp;"'!I2:K45"),3))&gt;0.001,BSPutImVol(Greeks!$R$6,VolatilitySurface!$B16,Greeks!$D$3,Greeks!$D$4,VolatilitySurface!C$26,VLOOKUP($B16,INDIRECT("'"&amp;C$2&amp;"'!I2:K45"),3)),"")</f>
        <v>0.24069268256425858</v>
      </c>
      <c r="D16" s="75" cm="1">
        <f t="array" aca="1" ref="D16" ca="1">IF(BSPutImVol(Greeks!$R$6,VolatilitySurface!$B16,Greeks!$D$3,Greeks!$D$4,VolatilitySurface!D$26,VLOOKUP($B16,INDIRECT("'"&amp;D$2&amp;"'!I2:K45"),3))&gt;0.001,BSPutImVol(Greeks!$R$6,VolatilitySurface!$B16,Greeks!$D$3,Greeks!$D$4,VolatilitySurface!D$26,VLOOKUP($B16,INDIRECT("'"&amp;D$2&amp;"'!I2:K45"),3)),"")</f>
        <v>0.21582398563623428</v>
      </c>
      <c r="E16" s="75" cm="1">
        <f t="array" aca="1" ref="E16" ca="1">IF(BSPutImVol(Greeks!$R$6,VolatilitySurface!$B16,Greeks!$D$3,Greeks!$D$4,VolatilitySurface!E$26,VLOOKUP($B16,INDIRECT("'"&amp;E$2&amp;"'!I2:K45"),3))&gt;0.001,BSPutImVol(Greeks!$R$6,VolatilitySurface!$B16,Greeks!$D$3,Greeks!$D$4,VolatilitySurface!E$26,VLOOKUP($B16,INDIRECT("'"&amp;E$2&amp;"'!I2:K45"),3)),"")</f>
        <v>0.2555185928940773</v>
      </c>
      <c r="F16" s="75" cm="1">
        <f t="array" aca="1" ref="F16" ca="1">IF(BSPutImVol(Greeks!$R$6,VolatilitySurface!$B16,Greeks!$D$3,Greeks!$D$4,VolatilitySurface!F$26,VLOOKUP($B16,INDIRECT("'"&amp;F$2&amp;"'!I2:K45"),3))&gt;0.001,BSPutImVol(Greeks!$R$6,VolatilitySurface!$B16,Greeks!$D$3,Greeks!$D$4,VolatilitySurface!F$26,VLOOKUP($B16,INDIRECT("'"&amp;F$2&amp;"'!I2:K45"),3)),"")</f>
        <v>0.21781157702207565</v>
      </c>
      <c r="G16" s="75" cm="1">
        <f t="array" aca="1" ref="G16" ca="1">IF(BSPutImVol(Greeks!$R$6,VolatilitySurface!$B16,Greeks!$D$3,Greeks!$D$4,VolatilitySurface!G$26,VLOOKUP($B16,INDIRECT("'"&amp;G$2&amp;"'!I2:K45"),3))&gt;0.001,BSPutImVol(Greeks!$R$6,VolatilitySurface!$B16,Greeks!$D$3,Greeks!$D$4,VolatilitySurface!G$26,VLOOKUP($B16,INDIRECT("'"&amp;G$2&amp;"'!I2:K45"),3)),"")</f>
        <v>0.25784257799386978</v>
      </c>
      <c r="H16" s="75" cm="1">
        <f t="array" aca="1" ref="H16" ca="1">IF(BSPutImVol(Greeks!$R$6,VolatilitySurface!$B16,Greeks!$D$3,Greeks!$D$4,VolatilitySurface!H$26,VLOOKUP($B16,INDIRECT("'"&amp;H$2&amp;"'!I2:K45"),3))&gt;0.001,BSPutImVol(Greeks!$R$6,VolatilitySurface!$B16,Greeks!$D$3,Greeks!$D$4,VolatilitySurface!H$26,VLOOKUP($B16,INDIRECT("'"&amp;H$2&amp;"'!I2:K45"),3)),"")</f>
        <v>0.22346336394548416</v>
      </c>
      <c r="I16" s="75" cm="1">
        <f t="array" aca="1" ref="I16" ca="1">IF(BSPutImVol(Greeks!$R$6,VolatilitySurface!$B16,Greeks!$D$3,Greeks!$D$4,VolatilitySurface!I$26,VLOOKUP($B16,INDIRECT("'"&amp;I$2&amp;"'!I2:K45"),3))&gt;0.001,BSPutImVol(Greeks!$R$6,VolatilitySurface!$B16,Greeks!$D$3,Greeks!$D$4,VolatilitySurface!I$26,VLOOKUP($B16,INDIRECT("'"&amp;I$2&amp;"'!I2:K45"),3)),"")</f>
        <v>0.22723052650690079</v>
      </c>
      <c r="J16" s="75" cm="1">
        <f t="array" aca="1" ref="J16" ca="1">IF(BSPutImVol(Greeks!$R$6,VolatilitySurface!$B16,Greeks!$D$3,Greeks!$D$4,VolatilitySurface!J$26,VLOOKUP($B16,INDIRECT("'"&amp;J$2&amp;"'!I2:K45"),3))&gt;0.001,BSPutImVol(Greeks!$R$6,VolatilitySurface!$B16,Greeks!$D$3,Greeks!$D$4,VolatilitySurface!J$26,VLOOKUP($B16,INDIRECT("'"&amp;J$2&amp;"'!I2:K45"),3)),"")</f>
        <v>0.24128515273332596</v>
      </c>
      <c r="K16" s="75" cm="1">
        <f t="array" aca="1" ref="K16" ca="1">IF(BSPutImVol(Greeks!$R$6,VolatilitySurface!$B16,Greeks!$D$3,Greeks!$D$4,VolatilitySurface!K$26,VLOOKUP($B16,INDIRECT("'"&amp;K$2&amp;"'!I2:K45"),3))&gt;0.001,BSPutImVol(Greeks!$R$6,VolatilitySurface!$B16,Greeks!$D$3,Greeks!$D$4,VolatilitySurface!K$26,VLOOKUP($B16,INDIRECT("'"&amp;K$2&amp;"'!I2:K45"),3)),"")</f>
        <v>0.24447593837976456</v>
      </c>
      <c r="L16" s="75" cm="1">
        <f t="array" aca="1" ref="L16" ca="1">IF(BSPutImVol(Greeks!$R$6,VolatilitySurface!$B16,Greeks!$D$3,Greeks!$D$4,VolatilitySurface!L$26,VLOOKUP($B16,INDIRECT("'"&amp;L$2&amp;"'!I2:K45"),3))&gt;0.001,BSPutImVol(Greeks!$R$6,VolatilitySurface!$B16,Greeks!$D$3,Greeks!$D$4,VolatilitySurface!L$26,VLOOKUP($B16,INDIRECT("'"&amp;L$2&amp;"'!I2:K45"),3)),"")</f>
        <v>0.2493860200047493</v>
      </c>
      <c r="M16" s="75" cm="1">
        <f t="array" aca="1" ref="M16" ca="1">IF(BSPutImVol(Greeks!$R$6,VolatilitySurface!$B16,Greeks!$D$3,Greeks!$D$4,VolatilitySurface!M$26,VLOOKUP($B16,INDIRECT("'"&amp;M$2&amp;"'!I2:K45"),3))&gt;0.001,BSPutImVol(Greeks!$R$6,VolatilitySurface!$B16,Greeks!$D$3,Greeks!$D$4,VolatilitySurface!M$26,VLOOKUP($B16,INDIRECT("'"&amp;M$2&amp;"'!I2:K45"),3)),"")</f>
        <v>0.25600608438253403</v>
      </c>
      <c r="N16" s="75" cm="1">
        <f t="array" aca="1" ref="N16" ca="1">IF(BSPutImVol(Greeks!$R$6,VolatilitySurface!$B16,Greeks!$D$3,Greeks!$D$4,VolatilitySurface!N$26,VLOOKUP($B16,INDIRECT("'"&amp;N$2&amp;"'!I2:K45"),3))&gt;0.001,BSPutImVol(Greeks!$R$6,VolatilitySurface!$B16,Greeks!$D$3,Greeks!$D$4,VolatilitySurface!N$26,VLOOKUP($B16,INDIRECT("'"&amp;N$2&amp;"'!I2:K45"),3)),"")</f>
        <v>0.26105459779500961</v>
      </c>
      <c r="O16" s="75" cm="1">
        <f t="array" aca="1" ref="O16" ca="1">IF(BSPutImVol(Greeks!$R$6,VolatilitySurface!$B16,Greeks!$D$3,Greeks!$D$4,VolatilitySurface!O$26,VLOOKUP($B16,INDIRECT("'"&amp;O$2&amp;"'!I2:K45"),3))&gt;0.001,BSPutImVol(Greeks!$R$6,VolatilitySurface!$B16,Greeks!$D$3,Greeks!$D$4,VolatilitySurface!O$26,VLOOKUP($B16,INDIRECT("'"&amp;O$2&amp;"'!I2:K45"),3)),"")</f>
        <v>0.26572566479444504</v>
      </c>
    </row>
    <row r="17" spans="1:15" x14ac:dyDescent="0.2">
      <c r="A17" s="110"/>
      <c r="B17" s="78">
        <v>260</v>
      </c>
      <c r="C17" s="75" cm="1">
        <f t="array" aca="1" ref="C17" ca="1">IF(BSPutImVol(Greeks!$R$6,VolatilitySurface!$B17,Greeks!$D$3,Greeks!$D$4,VolatilitySurface!C$26,VLOOKUP($B17,INDIRECT("'"&amp;C$2&amp;"'!I2:K45"),3))&gt;0.001,BSPutImVol(Greeks!$R$6,VolatilitySurface!$B17,Greeks!$D$3,Greeks!$D$4,VolatilitySurface!C$26,VLOOKUP($B17,INDIRECT("'"&amp;C$2&amp;"'!I2:K45"),3)),"")</f>
        <v>0.21262515336275101</v>
      </c>
      <c r="D17" s="75" cm="1">
        <f t="array" aca="1" ref="D17" ca="1">IF(BSPutImVol(Greeks!$R$6,VolatilitySurface!$B17,Greeks!$D$3,Greeks!$D$4,VolatilitySurface!D$26,VLOOKUP($B17,INDIRECT("'"&amp;D$2&amp;"'!I2:K45"),3))&gt;0.001,BSPutImVol(Greeks!$R$6,VolatilitySurface!$B17,Greeks!$D$3,Greeks!$D$4,VolatilitySurface!D$26,VLOOKUP($B17,INDIRECT("'"&amp;D$2&amp;"'!I2:K45"),3)),"")</f>
        <v>0.27056265622377396</v>
      </c>
      <c r="E17" s="75" cm="1">
        <f t="array" aca="1" ref="E17" ca="1">IF(BSPutImVol(Greeks!$R$6,VolatilitySurface!$B17,Greeks!$D$3,Greeks!$D$4,VolatilitySurface!E$26,VLOOKUP($B17,INDIRECT("'"&amp;E$2&amp;"'!I2:K45"),3))&gt;0.001,BSPutImVol(Greeks!$R$6,VolatilitySurface!$B17,Greeks!$D$3,Greeks!$D$4,VolatilitySurface!E$26,VLOOKUP($B17,INDIRECT("'"&amp;E$2&amp;"'!I2:K45"),3)),"")</f>
        <v>0.3145875409245491</v>
      </c>
      <c r="F17" s="75" cm="1">
        <f t="array" aca="1" ref="F17" ca="1">IF(BSPutImVol(Greeks!$R$6,VolatilitySurface!$B17,Greeks!$D$3,Greeks!$D$4,VolatilitySurface!F$26,VLOOKUP($B17,INDIRECT("'"&amp;F$2&amp;"'!I2:K45"),3))&gt;0.001,BSPutImVol(Greeks!$R$6,VolatilitySurface!$B17,Greeks!$D$3,Greeks!$D$4,VolatilitySurface!F$26,VLOOKUP($B17,INDIRECT("'"&amp;F$2&amp;"'!I2:K45"),3)),"")</f>
        <v>0.20899403840303421</v>
      </c>
      <c r="G17" s="75" t="str" cm="1">
        <f t="array" aca="1" ref="G17" ca="1">IF(BSPutImVol(Greeks!$R$6,VolatilitySurface!$B17,Greeks!$D$3,Greeks!$D$4,VolatilitySurface!G$26,VLOOKUP($B17,INDIRECT("'"&amp;G$2&amp;"'!I2:K45"),3))&gt;0.001,BSPutImVol(Greeks!$R$6,VolatilitySurface!$B17,Greeks!$D$3,Greeks!$D$4,VolatilitySurface!G$26,VLOOKUP($B17,INDIRECT("'"&amp;G$2&amp;"'!I2:K45"),3)),"")</f>
        <v/>
      </c>
      <c r="H17" s="75" cm="1">
        <f t="array" aca="1" ref="H17" ca="1">IF(BSPutImVol(Greeks!$R$6,VolatilitySurface!$B17,Greeks!$D$3,Greeks!$D$4,VolatilitySurface!H$26,VLOOKUP($B17,INDIRECT("'"&amp;H$2&amp;"'!I2:K45"),3))&gt;0.001,BSPutImVol(Greeks!$R$6,VolatilitySurface!$B17,Greeks!$D$3,Greeks!$D$4,VolatilitySurface!H$26,VLOOKUP($B17,INDIRECT("'"&amp;H$2&amp;"'!I2:K45"),3)),"")</f>
        <v>0.21716918796300888</v>
      </c>
      <c r="I17" s="75" cm="1">
        <f t="array" aca="1" ref="I17" ca="1">IF(BSPutImVol(Greeks!$R$6,VolatilitySurface!$B17,Greeks!$D$3,Greeks!$D$4,VolatilitySurface!I$26,VLOOKUP($B17,INDIRECT("'"&amp;I$2&amp;"'!I2:K45"),3))&gt;0.001,BSPutImVol(Greeks!$R$6,VolatilitySurface!$B17,Greeks!$D$3,Greeks!$D$4,VolatilitySurface!I$26,VLOOKUP($B17,INDIRECT("'"&amp;I$2&amp;"'!I2:K45"),3)),"")</f>
        <v>0.22603515535593033</v>
      </c>
      <c r="J17" s="75" cm="1">
        <f t="array" aca="1" ref="J17" ca="1">IF(BSPutImVol(Greeks!$R$6,VolatilitySurface!$B17,Greeks!$D$3,Greeks!$D$4,VolatilitySurface!J$26,VLOOKUP($B17,INDIRECT("'"&amp;J$2&amp;"'!I2:K45"),3))&gt;0.001,BSPutImVol(Greeks!$R$6,VolatilitySurface!$B17,Greeks!$D$3,Greeks!$D$4,VolatilitySurface!J$26,VLOOKUP($B17,INDIRECT("'"&amp;J$2&amp;"'!I2:K45"),3)),"")</f>
        <v>0.24745438247919083</v>
      </c>
      <c r="K17" s="75" cm="1">
        <f t="array" aca="1" ref="K17" ca="1">IF(BSPutImVol(Greeks!$R$6,VolatilitySurface!$B17,Greeks!$D$3,Greeks!$D$4,VolatilitySurface!K$26,VLOOKUP($B17,INDIRECT("'"&amp;K$2&amp;"'!I2:K45"),3))&gt;0.001,BSPutImVol(Greeks!$R$6,VolatilitySurface!$B17,Greeks!$D$3,Greeks!$D$4,VolatilitySurface!K$26,VLOOKUP($B17,INDIRECT("'"&amp;K$2&amp;"'!I2:K45"),3)),"")</f>
        <v>0.24732884019613266</v>
      </c>
      <c r="L17" s="75" cm="1">
        <f t="array" aca="1" ref="L17" ca="1">IF(BSPutImVol(Greeks!$R$6,VolatilitySurface!$B17,Greeks!$D$3,Greeks!$D$4,VolatilitySurface!L$26,VLOOKUP($B17,INDIRECT("'"&amp;L$2&amp;"'!I2:K45"),3))&gt;0.001,BSPutImVol(Greeks!$R$6,VolatilitySurface!$B17,Greeks!$D$3,Greeks!$D$4,VolatilitySurface!L$26,VLOOKUP($B17,INDIRECT("'"&amp;L$2&amp;"'!I2:K45"),3)),"")</f>
        <v>0.25435436517000198</v>
      </c>
      <c r="M17" s="75" cm="1">
        <f t="array" aca="1" ref="M17" ca="1">IF(BSPutImVol(Greeks!$R$6,VolatilitySurface!$B17,Greeks!$D$3,Greeks!$D$4,VolatilitySurface!M$26,VLOOKUP($B17,INDIRECT("'"&amp;M$2&amp;"'!I2:K45"),3))&gt;0.001,BSPutImVol(Greeks!$R$6,VolatilitySurface!$B17,Greeks!$D$3,Greeks!$D$4,VolatilitySurface!M$26,VLOOKUP($B17,INDIRECT("'"&amp;M$2&amp;"'!I2:K45"),3)),"")</f>
        <v>0.25254148989915848</v>
      </c>
      <c r="N17" s="75" cm="1">
        <f t="array" aca="1" ref="N17" ca="1">IF(BSPutImVol(Greeks!$R$6,VolatilitySurface!$B17,Greeks!$D$3,Greeks!$D$4,VolatilitySurface!N$26,VLOOKUP($B17,INDIRECT("'"&amp;N$2&amp;"'!I2:K45"),3))&gt;0.001,BSPutImVol(Greeks!$R$6,VolatilitySurface!$B17,Greeks!$D$3,Greeks!$D$4,VolatilitySurface!N$26,VLOOKUP($B17,INDIRECT("'"&amp;N$2&amp;"'!I2:K45"),3)),"")</f>
        <v>0.26002462953329086</v>
      </c>
      <c r="O17" s="75" cm="1">
        <f t="array" aca="1" ref="O17" ca="1">IF(BSPutImVol(Greeks!$R$6,VolatilitySurface!$B17,Greeks!$D$3,Greeks!$D$4,VolatilitySurface!O$26,VLOOKUP($B17,INDIRECT("'"&amp;O$2&amp;"'!I2:K45"),3))&gt;0.001,BSPutImVol(Greeks!$R$6,VolatilitySurface!$B17,Greeks!$D$3,Greeks!$D$4,VolatilitySurface!O$26,VLOOKUP($B17,INDIRECT("'"&amp;O$2&amp;"'!I2:K45"),3)),"")</f>
        <v>0.26078592985868454</v>
      </c>
    </row>
    <row r="18" spans="1:15" x14ac:dyDescent="0.2">
      <c r="B18" s="78">
        <v>265</v>
      </c>
      <c r="C18" s="75" cm="1">
        <f t="array" aca="1" ref="C18" ca="1">IF(BSPutImVol(Greeks!$R$6,VolatilitySurface!$B18,Greeks!$D$3,Greeks!$D$4,VolatilitySurface!C$26,VLOOKUP($B18,INDIRECT("'"&amp;C$2&amp;"'!I2:K45"),3))&gt;0.001,BSPutImVol(Greeks!$R$6,VolatilitySurface!$B18,Greeks!$D$3,Greeks!$D$4,VolatilitySurface!C$26,VLOOKUP($B18,INDIRECT("'"&amp;C$2&amp;"'!I2:K45"),3)),"")</f>
        <v>0.24600405246019363</v>
      </c>
      <c r="D18" s="75" cm="1">
        <f t="array" aca="1" ref="D18" ca="1">IF(BSPutImVol(Greeks!$R$6,VolatilitySurface!$B18,Greeks!$D$3,Greeks!$D$4,VolatilitySurface!D$26,VLOOKUP($B18,INDIRECT("'"&amp;D$2&amp;"'!I2:K45"),3))&gt;0.001,BSPutImVol(Greeks!$R$6,VolatilitySurface!$B18,Greeks!$D$3,Greeks!$D$4,VolatilitySurface!D$26,VLOOKUP($B18,INDIRECT("'"&amp;D$2&amp;"'!I2:K45"),3)),"")</f>
        <v>0.23147758096456528</v>
      </c>
      <c r="E18" s="75" cm="1">
        <f t="array" aca="1" ref="E18" ca="1">IF(BSPutImVol(Greeks!$R$6,VolatilitySurface!$B18,Greeks!$D$3,Greeks!$D$4,VolatilitySurface!E$26,VLOOKUP($B18,INDIRECT("'"&amp;E$2&amp;"'!I2:K45"),3))&gt;0.001,BSPutImVol(Greeks!$R$6,VolatilitySurface!$B18,Greeks!$D$3,Greeks!$D$4,VolatilitySurface!E$26,VLOOKUP($B18,INDIRECT("'"&amp;E$2&amp;"'!I2:K45"),3)),"")</f>
        <v>0.22412430495023727</v>
      </c>
      <c r="F18" s="75" cm="1">
        <f t="array" aca="1" ref="F18" ca="1">IF(BSPutImVol(Greeks!$R$6,VolatilitySurface!$B18,Greeks!$D$3,Greeks!$D$4,VolatilitySurface!F$26,VLOOKUP($B18,INDIRECT("'"&amp;F$2&amp;"'!I2:K45"),3))&gt;0.001,BSPutImVol(Greeks!$R$6,VolatilitySurface!$B18,Greeks!$D$3,Greeks!$D$4,VolatilitySurface!F$26,VLOOKUP($B18,INDIRECT("'"&amp;F$2&amp;"'!I2:K45"),3)),"")</f>
        <v>0.19952375441789627</v>
      </c>
      <c r="G18" s="75" t="str" cm="1">
        <f t="array" aca="1" ref="G18" ca="1">IF(BSPutImVol(Greeks!$R$6,VolatilitySurface!$B18,Greeks!$D$3,Greeks!$D$4,VolatilitySurface!G$26,VLOOKUP($B18,INDIRECT("'"&amp;G$2&amp;"'!I2:K45"),3))&gt;0.001,BSPutImVol(Greeks!$R$6,VolatilitySurface!$B18,Greeks!$D$3,Greeks!$D$4,VolatilitySurface!G$26,VLOOKUP($B18,INDIRECT("'"&amp;G$2&amp;"'!I2:K45"),3)),"")</f>
        <v/>
      </c>
      <c r="H18" s="75" cm="1">
        <f t="array" aca="1" ref="H18" ca="1">IF(BSPutImVol(Greeks!$R$6,VolatilitySurface!$B18,Greeks!$D$3,Greeks!$D$4,VolatilitySurface!H$26,VLOOKUP($B18,INDIRECT("'"&amp;H$2&amp;"'!I2:K45"),3))&gt;0.001,BSPutImVol(Greeks!$R$6,VolatilitySurface!$B18,Greeks!$D$3,Greeks!$D$4,VolatilitySurface!H$26,VLOOKUP($B18,INDIRECT("'"&amp;H$2&amp;"'!I2:K45"),3)),"")</f>
        <v>0.21240327507257462</v>
      </c>
      <c r="I18" s="75" cm="1">
        <f t="array" aca="1" ref="I18" ca="1">IF(BSPutImVol(Greeks!$R$6,VolatilitySurface!$B18,Greeks!$D$3,Greeks!$D$4,VolatilitySurface!I$26,VLOOKUP($B18,INDIRECT("'"&amp;I$2&amp;"'!I2:K45"),3))&gt;0.001,BSPutImVol(Greeks!$R$6,VolatilitySurface!$B18,Greeks!$D$3,Greeks!$D$4,VolatilitySurface!I$26,VLOOKUP($B18,INDIRECT("'"&amp;I$2&amp;"'!I2:K45"),3)),"")</f>
        <v>0.22189576178789139</v>
      </c>
      <c r="J18" s="75" t="str" cm="1">
        <f t="array" aca="1" ref="J18" ca="1">IF(BSPutImVol(Greeks!$R$6,VolatilitySurface!$B18,Greeks!$D$3,Greeks!$D$4,VolatilitySurface!J$26,VLOOKUP($B18,INDIRECT("'"&amp;J$2&amp;"'!I2:K45"),3))&gt;0.001,BSPutImVol(Greeks!$R$6,VolatilitySurface!$B18,Greeks!$D$3,Greeks!$D$4,VolatilitySurface!J$26,VLOOKUP($B18,INDIRECT("'"&amp;J$2&amp;"'!I2:K45"),3)),"")</f>
        <v/>
      </c>
      <c r="K18" s="75" cm="1">
        <f t="array" aca="1" ref="K18" ca="1">IF(BSPutImVol(Greeks!$R$6,VolatilitySurface!$B18,Greeks!$D$3,Greeks!$D$4,VolatilitySurface!K$26,VLOOKUP($B18,INDIRECT("'"&amp;K$2&amp;"'!I2:K45"),3))&gt;0.001,BSPutImVol(Greeks!$R$6,VolatilitySurface!$B18,Greeks!$D$3,Greeks!$D$4,VolatilitySurface!K$26,VLOOKUP($B18,INDIRECT("'"&amp;K$2&amp;"'!I2:K45"),3)),"")</f>
        <v>0.24609196931123734</v>
      </c>
      <c r="L18" s="75" cm="1">
        <f t="array" aca="1" ref="L18" ca="1">IF(BSPutImVol(Greeks!$R$6,VolatilitySurface!$B18,Greeks!$D$3,Greeks!$D$4,VolatilitySurface!L$26,VLOOKUP($B18,INDIRECT("'"&amp;L$2&amp;"'!I2:K45"),3))&gt;0.001,BSPutImVol(Greeks!$R$6,VolatilitySurface!$B18,Greeks!$D$3,Greeks!$D$4,VolatilitySurface!L$26,VLOOKUP($B18,INDIRECT("'"&amp;L$2&amp;"'!I2:K45"),3)),"")</f>
        <v>0.25148238986730576</v>
      </c>
      <c r="M18" s="75" cm="1">
        <f t="array" aca="1" ref="M18" ca="1">IF(BSPutImVol(Greeks!$R$6,VolatilitySurface!$B18,Greeks!$D$3,Greeks!$D$4,VolatilitySurface!M$26,VLOOKUP($B18,INDIRECT("'"&amp;M$2&amp;"'!I2:K45"),3))&gt;0.001,BSPutImVol(Greeks!$R$6,VolatilitySurface!$B18,Greeks!$D$3,Greeks!$D$4,VolatilitySurface!M$26,VLOOKUP($B18,INDIRECT("'"&amp;M$2&amp;"'!I2:K45"),3)),"")</f>
        <v>0.25126058608293533</v>
      </c>
      <c r="N18" s="75" cm="1">
        <f t="array" aca="1" ref="N18" ca="1">IF(BSPutImVol(Greeks!$R$6,VolatilitySurface!$B18,Greeks!$D$3,Greeks!$D$4,VolatilitySurface!N$26,VLOOKUP($B18,INDIRECT("'"&amp;N$2&amp;"'!I2:K45"),3))&gt;0.001,BSPutImVol(Greeks!$R$6,VolatilitySurface!$B18,Greeks!$D$3,Greeks!$D$4,VolatilitySurface!N$26,VLOOKUP($B18,INDIRECT("'"&amp;N$2&amp;"'!I2:K45"),3)),"")</f>
        <v>0.26330571621656418</v>
      </c>
      <c r="O18" s="75" cm="1">
        <f t="array" aca="1" ref="O18" ca="1">IF(BSPutImVol(Greeks!$R$6,VolatilitySurface!$B18,Greeks!$D$3,Greeks!$D$4,VolatilitySurface!O$26,VLOOKUP($B18,INDIRECT("'"&amp;O$2&amp;"'!I2:K45"),3))&gt;0.001,BSPutImVol(Greeks!$R$6,VolatilitySurface!$B18,Greeks!$D$3,Greeks!$D$4,VolatilitySurface!O$26,VLOOKUP($B18,INDIRECT("'"&amp;O$2&amp;"'!I2:K45"),3)),"")</f>
        <v>0.37830818444490433</v>
      </c>
    </row>
    <row r="19" spans="1:15" x14ac:dyDescent="0.2">
      <c r="B19" s="78">
        <v>270</v>
      </c>
      <c r="C19" s="75" cm="1">
        <f t="array" aca="1" ref="C19" ca="1">IF(BSPutImVol(Greeks!$R$6,VolatilitySurface!$B19,Greeks!$D$3,Greeks!$D$4,VolatilitySurface!C$26,VLOOKUP($B19,INDIRECT("'"&amp;C$2&amp;"'!I2:K45"),3))&gt;0.001,BSPutImVol(Greeks!$R$6,VolatilitySurface!$B19,Greeks!$D$3,Greeks!$D$4,VolatilitySurface!C$26,VLOOKUP($B19,INDIRECT("'"&amp;C$2&amp;"'!I2:K45"),3)),"")</f>
        <v>0.29510531574487686</v>
      </c>
      <c r="D19" s="75" cm="1">
        <f t="array" aca="1" ref="D19" ca="1">IF(BSPutImVol(Greeks!$R$6,VolatilitySurface!$B19,Greeks!$D$3,Greeks!$D$4,VolatilitySurface!D$26,VLOOKUP($B19,INDIRECT("'"&amp;D$2&amp;"'!I2:K45"),3))&gt;0.001,BSPutImVol(Greeks!$R$6,VolatilitySurface!$B19,Greeks!$D$3,Greeks!$D$4,VolatilitySurface!D$26,VLOOKUP($B19,INDIRECT("'"&amp;D$2&amp;"'!I2:K45"),3)),"")</f>
        <v>0.24026434868574142</v>
      </c>
      <c r="E19" s="75" cm="1">
        <f t="array" aca="1" ref="E19" ca="1">IF(BSPutImVol(Greeks!$R$6,VolatilitySurface!$B19,Greeks!$D$3,Greeks!$D$4,VolatilitySurface!E$26,VLOOKUP($B19,INDIRECT("'"&amp;E$2&amp;"'!I2:K45"),3))&gt;0.001,BSPutImVol(Greeks!$R$6,VolatilitySurface!$B19,Greeks!$D$3,Greeks!$D$4,VolatilitySurface!E$26,VLOOKUP($B19,INDIRECT("'"&amp;E$2&amp;"'!I2:K45"),3)),"")</f>
        <v>0.20952176302671432</v>
      </c>
      <c r="F19" s="75" cm="1">
        <f t="array" aca="1" ref="F19" ca="1">IF(BSPutImVol(Greeks!$R$6,VolatilitySurface!$B19,Greeks!$D$3,Greeks!$D$4,VolatilitySurface!F$26,VLOOKUP($B19,INDIRECT("'"&amp;F$2&amp;"'!I2:K45"),3))&gt;0.001,BSPutImVol(Greeks!$R$6,VolatilitySurface!$B19,Greeks!$D$3,Greeks!$D$4,VolatilitySurface!F$26,VLOOKUP($B19,INDIRECT("'"&amp;F$2&amp;"'!I2:K45"),3)),"")</f>
        <v>0.21207991987466812</v>
      </c>
      <c r="G19" s="75" t="str" cm="1">
        <f t="array" aca="1" ref="G19" ca="1">IF(BSPutImVol(Greeks!$R$6,VolatilitySurface!$B19,Greeks!$D$3,Greeks!$D$4,VolatilitySurface!G$26,VLOOKUP($B19,INDIRECT("'"&amp;G$2&amp;"'!I2:K45"),3))&gt;0.001,BSPutImVol(Greeks!$R$6,VolatilitySurface!$B19,Greeks!$D$3,Greeks!$D$4,VolatilitySurface!G$26,VLOOKUP($B19,INDIRECT("'"&amp;G$2&amp;"'!I2:K45"),3)),"")</f>
        <v/>
      </c>
      <c r="H19" s="75" cm="1">
        <f t="array" aca="1" ref="H19" ca="1">IF(BSPutImVol(Greeks!$R$6,VolatilitySurface!$B19,Greeks!$D$3,Greeks!$D$4,VolatilitySurface!H$26,VLOOKUP($B19,INDIRECT("'"&amp;H$2&amp;"'!I2:K45"),3))&gt;0.001,BSPutImVol(Greeks!$R$6,VolatilitySurface!$B19,Greeks!$D$3,Greeks!$D$4,VolatilitySurface!H$26,VLOOKUP($B19,INDIRECT("'"&amp;H$2&amp;"'!I2:K45"),3)),"")</f>
        <v>0.22471997886896133</v>
      </c>
      <c r="I19" s="75" cm="1">
        <f t="array" aca="1" ref="I19" ca="1">IF(BSPutImVol(Greeks!$R$6,VolatilitySurface!$B19,Greeks!$D$3,Greeks!$D$4,VolatilitySurface!I$26,VLOOKUP($B19,INDIRECT("'"&amp;I$2&amp;"'!I2:K45"),3))&gt;0.001,BSPutImVol(Greeks!$R$6,VolatilitySurface!$B19,Greeks!$D$3,Greeks!$D$4,VolatilitySurface!I$26,VLOOKUP($B19,INDIRECT("'"&amp;I$2&amp;"'!I2:K45"),3)),"")</f>
        <v>0.25400739163160324</v>
      </c>
      <c r="J19" s="75" cm="1">
        <f t="array" aca="1" ref="J19" ca="1">IF(BSPutImVol(Greeks!$R$6,VolatilitySurface!$B19,Greeks!$D$3,Greeks!$D$4,VolatilitySurface!J$26,VLOOKUP($B19,INDIRECT("'"&amp;J$2&amp;"'!I2:K45"),3))&gt;0.001,BSPutImVol(Greeks!$R$6,VolatilitySurface!$B19,Greeks!$D$3,Greeks!$D$4,VolatilitySurface!J$26,VLOOKUP($B19,INDIRECT("'"&amp;J$2&amp;"'!I2:K45"),3)),"")</f>
        <v>0.25700327008962631</v>
      </c>
      <c r="K19" s="75" cm="1">
        <f t="array" aca="1" ref="K19" ca="1">IF(BSPutImVol(Greeks!$R$6,VolatilitySurface!$B19,Greeks!$D$3,Greeks!$D$4,VolatilitySurface!K$26,VLOOKUP($B19,INDIRECT("'"&amp;K$2&amp;"'!I2:K45"),3))&gt;0.001,BSPutImVol(Greeks!$R$6,VolatilitySurface!$B19,Greeks!$D$3,Greeks!$D$4,VolatilitySurface!K$26,VLOOKUP($B19,INDIRECT("'"&amp;K$2&amp;"'!I2:K45"),3)),"")</f>
        <v>0.28657589107751846</v>
      </c>
      <c r="L19" s="75" t="str" cm="1">
        <f t="array" aca="1" ref="L19" ca="1">IF(BSPutImVol(Greeks!$R$6,VolatilitySurface!$B19,Greeks!$D$3,Greeks!$D$4,VolatilitySurface!L$26,VLOOKUP($B19,INDIRECT("'"&amp;L$2&amp;"'!I2:K45"),3))&gt;0.001,BSPutImVol(Greeks!$R$6,VolatilitySurface!$B19,Greeks!$D$3,Greeks!$D$4,VolatilitySurface!L$26,VLOOKUP($B19,INDIRECT("'"&amp;L$2&amp;"'!I2:K45"),3)),"")</f>
        <v/>
      </c>
      <c r="M19" s="75" cm="1">
        <f t="array" aca="1" ref="M19" ca="1">IF(BSPutImVol(Greeks!$R$6,VolatilitySurface!$B19,Greeks!$D$3,Greeks!$D$4,VolatilitySurface!M$26,VLOOKUP($B19,INDIRECT("'"&amp;M$2&amp;"'!I2:K45"),3))&gt;0.001,BSPutImVol(Greeks!$R$6,VolatilitySurface!$B19,Greeks!$D$3,Greeks!$D$4,VolatilitySurface!M$26,VLOOKUP($B19,INDIRECT("'"&amp;M$2&amp;"'!I2:K45"),3)),"")</f>
        <v>0.24661954492330551</v>
      </c>
      <c r="N19" s="75" cm="1">
        <f t="array" aca="1" ref="N19" ca="1">IF(BSPutImVol(Greeks!$R$6,VolatilitySurface!$B19,Greeks!$D$3,Greeks!$D$4,VolatilitySurface!N$26,VLOOKUP($B19,INDIRECT("'"&amp;N$2&amp;"'!I2:K45"),3))&gt;0.001,BSPutImVol(Greeks!$R$6,VolatilitySurface!$B19,Greeks!$D$3,Greeks!$D$4,VolatilitySurface!N$26,VLOOKUP($B19,INDIRECT("'"&amp;N$2&amp;"'!I2:K45"),3)),"")</f>
        <v>0.29325012117624283</v>
      </c>
      <c r="O19" s="75" cm="1">
        <f t="array" aca="1" ref="O19" ca="1">IF(BSPutImVol(Greeks!$R$6,VolatilitySurface!$B19,Greeks!$D$3,Greeks!$D$4,VolatilitySurface!O$26,VLOOKUP($B19,INDIRECT("'"&amp;O$2&amp;"'!I2:K45"),3))&gt;0.001,BSPutImVol(Greeks!$R$6,VolatilitySurface!$B19,Greeks!$D$3,Greeks!$D$4,VolatilitySurface!O$26,VLOOKUP($B19,INDIRECT("'"&amp;O$2&amp;"'!I2:K45"),3)),"")</f>
        <v>0.32435838133096695</v>
      </c>
    </row>
    <row r="20" spans="1:15" x14ac:dyDescent="0.2">
      <c r="B20" s="78">
        <v>275</v>
      </c>
      <c r="C20" s="75" cm="1">
        <f t="array" aca="1" ref="C20" ca="1">IF(BSPutImVol(Greeks!$R$6,VolatilitySurface!$B20,Greeks!$D$3,Greeks!$D$4,VolatilitySurface!C$26,VLOOKUP($B20,INDIRECT("'"&amp;C$2&amp;"'!I2:K45"),3))&gt;0.001,BSPutImVol(Greeks!$R$6,VolatilitySurface!$B20,Greeks!$D$3,Greeks!$D$4,VolatilitySurface!C$26,VLOOKUP($B20,INDIRECT("'"&amp;C$2&amp;"'!I2:K45"),3)),"")</f>
        <v>0.3342750295996666</v>
      </c>
      <c r="D20" s="75" cm="1">
        <f t="array" aca="1" ref="D20" ca="1">IF(BSPutImVol(Greeks!$R$6,VolatilitySurface!$B20,Greeks!$D$3,Greeks!$D$4,VolatilitySurface!D$26,VLOOKUP($B20,INDIRECT("'"&amp;D$2&amp;"'!I2:K45"),3))&gt;0.001,BSPutImVol(Greeks!$R$6,VolatilitySurface!$B20,Greeks!$D$3,Greeks!$D$4,VolatilitySurface!D$26,VLOOKUP($B20,INDIRECT("'"&amp;D$2&amp;"'!I2:K45"),3)),"")</f>
        <v>0.316588394343853</v>
      </c>
      <c r="E20" s="75" t="str" cm="1">
        <f t="array" aca="1" ref="E20" ca="1">IF(BSPutImVol(Greeks!$R$6,VolatilitySurface!$B20,Greeks!$D$3,Greeks!$D$4,VolatilitySurface!E$26,VLOOKUP($B20,INDIRECT("'"&amp;E$2&amp;"'!I2:K45"),3))&gt;0.001,BSPutImVol(Greeks!$R$6,VolatilitySurface!$B20,Greeks!$D$3,Greeks!$D$4,VolatilitySurface!E$26,VLOOKUP($B20,INDIRECT("'"&amp;E$2&amp;"'!I2:K45"),3)),"")</f>
        <v/>
      </c>
      <c r="F20" s="75" cm="1">
        <f t="array" aca="1" ref="F20" ca="1">IF(BSPutImVol(Greeks!$R$6,VolatilitySurface!$B20,Greeks!$D$3,Greeks!$D$4,VolatilitySurface!F$26,VLOOKUP($B20,INDIRECT("'"&amp;F$2&amp;"'!I2:K45"),3))&gt;0.001,BSPutImVol(Greeks!$R$6,VolatilitySurface!$B20,Greeks!$D$3,Greeks!$D$4,VolatilitySurface!F$26,VLOOKUP($B20,INDIRECT("'"&amp;F$2&amp;"'!I2:K45"),3)),"")</f>
        <v>0.29425483196973801</v>
      </c>
      <c r="G20" s="75" t="str" cm="1">
        <f t="array" aca="1" ref="G20" ca="1">IF(BSPutImVol(Greeks!$R$6,VolatilitySurface!$B20,Greeks!$D$3,Greeks!$D$4,VolatilitySurface!G$26,VLOOKUP($B20,INDIRECT("'"&amp;G$2&amp;"'!I2:K45"),3))&gt;0.001,BSPutImVol(Greeks!$R$6,VolatilitySurface!$B20,Greeks!$D$3,Greeks!$D$4,VolatilitySurface!G$26,VLOOKUP($B20,INDIRECT("'"&amp;G$2&amp;"'!I2:K45"),3)),"")</f>
        <v/>
      </c>
      <c r="H20" s="75" cm="1">
        <f t="array" aca="1" ref="H20" ca="1">IF(BSPutImVol(Greeks!$R$6,VolatilitySurface!$B20,Greeks!$D$3,Greeks!$D$4,VolatilitySurface!H$26,VLOOKUP($B20,INDIRECT("'"&amp;H$2&amp;"'!I2:K45"),3))&gt;0.001,BSPutImVol(Greeks!$R$6,VolatilitySurface!$B20,Greeks!$D$3,Greeks!$D$4,VolatilitySurface!H$26,VLOOKUP($B20,INDIRECT("'"&amp;H$2&amp;"'!I2:K45"),3)),"")</f>
        <v>0.31392317265272141</v>
      </c>
      <c r="I20" s="75" cm="1">
        <f t="array" aca="1" ref="I20" ca="1">IF(BSPutImVol(Greeks!$R$6,VolatilitySurface!$B20,Greeks!$D$3,Greeks!$D$4,VolatilitySurface!I$26,VLOOKUP($B20,INDIRECT("'"&amp;I$2&amp;"'!I2:K45"),3))&gt;0.001,BSPutImVol(Greeks!$R$6,VolatilitySurface!$B20,Greeks!$D$3,Greeks!$D$4,VolatilitySurface!I$26,VLOOKUP($B20,INDIRECT("'"&amp;I$2&amp;"'!I2:K45"),3)),"")</f>
        <v>0.2245606854557991</v>
      </c>
      <c r="J20" s="75" t="str" cm="1">
        <f t="array" aca="1" ref="J20" ca="1">IF(BSPutImVol(Greeks!$R$6,VolatilitySurface!$B20,Greeks!$D$3,Greeks!$D$4,VolatilitySurface!J$26,VLOOKUP($B20,INDIRECT("'"&amp;J$2&amp;"'!I2:K45"),3))&gt;0.001,BSPutImVol(Greeks!$R$6,VolatilitySurface!$B20,Greeks!$D$3,Greeks!$D$4,VolatilitySurface!J$26,VLOOKUP($B20,INDIRECT("'"&amp;J$2&amp;"'!I2:K45"),3)),"")</f>
        <v/>
      </c>
      <c r="K20" s="75" cm="1">
        <f t="array" aca="1" ref="K20" ca="1">IF(BSPutImVol(Greeks!$R$6,VolatilitySurface!$B20,Greeks!$D$3,Greeks!$D$4,VolatilitySurface!K$26,VLOOKUP($B20,INDIRECT("'"&amp;K$2&amp;"'!I2:K45"),3))&gt;0.001,BSPutImVol(Greeks!$R$6,VolatilitySurface!$B20,Greeks!$D$3,Greeks!$D$4,VolatilitySurface!K$26,VLOOKUP($B20,INDIRECT("'"&amp;K$2&amp;"'!I2:K45"),3)),"")</f>
        <v>0.43844487518072128</v>
      </c>
      <c r="L20" s="75" t="str" cm="1">
        <f t="array" aca="1" ref="L20" ca="1">IF(BSPutImVol(Greeks!$R$6,VolatilitySurface!$B20,Greeks!$D$3,Greeks!$D$4,VolatilitySurface!L$26,VLOOKUP($B20,INDIRECT("'"&amp;L$2&amp;"'!I2:K45"),3))&gt;0.001,BSPutImVol(Greeks!$R$6,VolatilitySurface!$B20,Greeks!$D$3,Greeks!$D$4,VolatilitySurface!L$26,VLOOKUP($B20,INDIRECT("'"&amp;L$2&amp;"'!I2:K45"),3)),"")</f>
        <v/>
      </c>
      <c r="M20" s="75" cm="1">
        <f t="array" aca="1" ref="M20" ca="1">IF(BSPutImVol(Greeks!$R$6,VolatilitySurface!$B20,Greeks!$D$3,Greeks!$D$4,VolatilitySurface!M$26,VLOOKUP($B20,INDIRECT("'"&amp;M$2&amp;"'!I2:K45"),3))&gt;0.001,BSPutImVol(Greeks!$R$6,VolatilitySurface!$B20,Greeks!$D$3,Greeks!$D$4,VolatilitySurface!M$26,VLOOKUP($B20,INDIRECT("'"&amp;M$2&amp;"'!I2:K45"),3)),"")</f>
        <v>0.25035623461008072</v>
      </c>
      <c r="N20" s="75" cm="1">
        <f t="array" aca="1" ref="N20" ca="1">IF(BSPutImVol(Greeks!$R$6,VolatilitySurface!$B20,Greeks!$D$3,Greeks!$D$4,VolatilitySurface!N$26,VLOOKUP($B20,INDIRECT("'"&amp;N$2&amp;"'!I2:K45"),3))&gt;0.001,BSPutImVol(Greeks!$R$6,VolatilitySurface!$B20,Greeks!$D$3,Greeks!$D$4,VolatilitySurface!N$26,VLOOKUP($B20,INDIRECT("'"&amp;N$2&amp;"'!I2:K45"),3)),"")</f>
        <v>0.2619464322924614</v>
      </c>
      <c r="O20" s="75" cm="1">
        <f t="array" aca="1" ref="O20" ca="1">IF(BSPutImVol(Greeks!$R$6,VolatilitySurface!$B20,Greeks!$D$3,Greeks!$D$4,VolatilitySurface!O$26,VLOOKUP($B20,INDIRECT("'"&amp;O$2&amp;"'!I2:K45"),3))&gt;0.001,BSPutImVol(Greeks!$R$6,VolatilitySurface!$B20,Greeks!$D$3,Greeks!$D$4,VolatilitySurface!O$26,VLOOKUP($B20,INDIRECT("'"&amp;O$2&amp;"'!I2:K45"),3)),"")</f>
        <v>0.26588443666696548</v>
      </c>
    </row>
    <row r="21" spans="1:15" x14ac:dyDescent="0.2">
      <c r="B21" s="78">
        <v>280</v>
      </c>
      <c r="C21" s="75" cm="1">
        <f t="array" aca="1" ref="C21" ca="1">IF(BSPutImVol(Greeks!$R$6,VolatilitySurface!$B21,Greeks!$D$3,Greeks!$D$4,VolatilitySurface!C$26,VLOOKUP($B21,INDIRECT("'"&amp;C$2&amp;"'!I2:K45"),3))&gt;0.001,BSPutImVol(Greeks!$R$6,VolatilitySurface!$B21,Greeks!$D$3,Greeks!$D$4,VolatilitySurface!C$26,VLOOKUP($B21,INDIRECT("'"&amp;C$2&amp;"'!I2:K45"),3)),"")</f>
        <v>0.54379682987928391</v>
      </c>
      <c r="D21" s="75" cm="1">
        <f t="array" aca="1" ref="D21" ca="1">IF(BSPutImVol(Greeks!$R$6,VolatilitySurface!$B21,Greeks!$D$3,Greeks!$D$4,VolatilitySurface!D$26,VLOOKUP($B21,INDIRECT("'"&amp;D$2&amp;"'!I2:K45"),3))&gt;0.001,BSPutImVol(Greeks!$R$6,VolatilitySurface!$B21,Greeks!$D$3,Greeks!$D$4,VolatilitySurface!D$26,VLOOKUP($B21,INDIRECT("'"&amp;D$2&amp;"'!I2:K45"),3)),"")</f>
        <v>0.30952844768762589</v>
      </c>
      <c r="E21" s="75" t="str" cm="1">
        <f t="array" aca="1" ref="E21" ca="1">IF(BSPutImVol(Greeks!$R$6,VolatilitySurface!$B21,Greeks!$D$3,Greeks!$D$4,VolatilitySurface!E$26,VLOOKUP($B21,INDIRECT("'"&amp;E$2&amp;"'!I2:K45"),3))&gt;0.001,BSPutImVol(Greeks!$R$6,VolatilitySurface!$B21,Greeks!$D$3,Greeks!$D$4,VolatilitySurface!E$26,VLOOKUP($B21,INDIRECT("'"&amp;E$2&amp;"'!I2:K45"),3)),"")</f>
        <v/>
      </c>
      <c r="F21" s="75" cm="1">
        <f t="array" aca="1" ref="F21" ca="1">IF(BSPutImVol(Greeks!$R$6,VolatilitySurface!$B21,Greeks!$D$3,Greeks!$D$4,VolatilitySurface!F$26,VLOOKUP($B21,INDIRECT("'"&amp;F$2&amp;"'!I2:K45"),3))&gt;0.001,BSPutImVol(Greeks!$R$6,VolatilitySurface!$B21,Greeks!$D$3,Greeks!$D$4,VolatilitySurface!F$26,VLOOKUP($B21,INDIRECT("'"&amp;F$2&amp;"'!I2:K45"),3)),"")</f>
        <v>0.22866550832986832</v>
      </c>
      <c r="G21" s="75" cm="1">
        <f t="array" aca="1" ref="G21" ca="1">IF(BSPutImVol(Greeks!$R$6,VolatilitySurface!$B21,Greeks!$D$3,Greeks!$D$4,VolatilitySurface!G$26,VLOOKUP($B21,INDIRECT("'"&amp;G$2&amp;"'!I2:K45"),3))&gt;0.001,BSPutImVol(Greeks!$R$6,VolatilitySurface!$B21,Greeks!$D$3,Greeks!$D$4,VolatilitySurface!G$26,VLOOKUP($B21,INDIRECT("'"&amp;G$2&amp;"'!I2:K45"),3)),"")</f>
        <v>0.26563320308923721</v>
      </c>
      <c r="H21" s="75" cm="1">
        <f t="array" aca="1" ref="H21" ca="1">IF(BSPutImVol(Greeks!$R$6,VolatilitySurface!$B21,Greeks!$D$3,Greeks!$D$4,VolatilitySurface!H$26,VLOOKUP($B21,INDIRECT("'"&amp;H$2&amp;"'!I2:K45"),3))&gt;0.001,BSPutImVol(Greeks!$R$6,VolatilitySurface!$B21,Greeks!$D$3,Greeks!$D$4,VolatilitySurface!H$26,VLOOKUP($B21,INDIRECT("'"&amp;H$2&amp;"'!I2:K45"),3)),"")</f>
        <v>0.20277772098779678</v>
      </c>
      <c r="I21" s="75" cm="1">
        <f t="array" aca="1" ref="I21" ca="1">IF(BSPutImVol(Greeks!$R$6,VolatilitySurface!$B21,Greeks!$D$3,Greeks!$D$4,VolatilitySurface!I$26,VLOOKUP($B21,INDIRECT("'"&amp;I$2&amp;"'!I2:K45"),3))&gt;0.001,BSPutImVol(Greeks!$R$6,VolatilitySurface!$B21,Greeks!$D$3,Greeks!$D$4,VolatilitySurface!I$26,VLOOKUP($B21,INDIRECT("'"&amp;I$2&amp;"'!I2:K45"),3)),"")</f>
        <v>0.23473072797060013</v>
      </c>
      <c r="J21" s="75" cm="1">
        <f t="array" aca="1" ref="J21" ca="1">IF(BSPutImVol(Greeks!$R$6,VolatilitySurface!$B21,Greeks!$D$3,Greeks!$D$4,VolatilitySurface!J$26,VLOOKUP($B21,INDIRECT("'"&amp;J$2&amp;"'!I2:K45"),3))&gt;0.001,BSPutImVol(Greeks!$R$6,VolatilitySurface!$B21,Greeks!$D$3,Greeks!$D$4,VolatilitySurface!J$26,VLOOKUP($B21,INDIRECT("'"&amp;J$2&amp;"'!I2:K45"),3)),"")</f>
        <v>0.33785287290811539</v>
      </c>
      <c r="K21" s="75" cm="1">
        <f t="array" aca="1" ref="K21" ca="1">IF(BSPutImVol(Greeks!$R$6,VolatilitySurface!$B21,Greeks!$D$3,Greeks!$D$4,VolatilitySurface!K$26,VLOOKUP($B21,INDIRECT("'"&amp;K$2&amp;"'!I2:K45"),3))&gt;0.001,BSPutImVol(Greeks!$R$6,VolatilitySurface!$B21,Greeks!$D$3,Greeks!$D$4,VolatilitySurface!K$26,VLOOKUP($B21,INDIRECT("'"&amp;K$2&amp;"'!I2:K45"),3)),"")</f>
        <v>0.25834109634160995</v>
      </c>
      <c r="L21" s="75" cm="1">
        <f t="array" aca="1" ref="L21" ca="1">IF(BSPutImVol(Greeks!$R$6,VolatilitySurface!$B21,Greeks!$D$3,Greeks!$D$4,VolatilitySurface!L$26,VLOOKUP($B21,INDIRECT("'"&amp;L$2&amp;"'!I2:K45"),3))&gt;0.001,BSPutImVol(Greeks!$R$6,VolatilitySurface!$B21,Greeks!$D$3,Greeks!$D$4,VolatilitySurface!L$26,VLOOKUP($B21,INDIRECT("'"&amp;L$2&amp;"'!I2:K45"),3)),"")</f>
        <v>0.43619383126497269</v>
      </c>
      <c r="M21" s="75" cm="1">
        <f t="array" aca="1" ref="M21" ca="1">IF(BSPutImVol(Greeks!$R$6,VolatilitySurface!$B21,Greeks!$D$3,Greeks!$D$4,VolatilitySurface!M$26,VLOOKUP($B21,INDIRECT("'"&amp;M$2&amp;"'!I2:K45"),3))&gt;0.001,BSPutImVol(Greeks!$R$6,VolatilitySurface!$B21,Greeks!$D$3,Greeks!$D$4,VolatilitySurface!M$26,VLOOKUP($B21,INDIRECT("'"&amp;M$2&amp;"'!I2:K45"),3)),"")</f>
        <v>0.2506985142827034</v>
      </c>
      <c r="N21" s="75" cm="1">
        <f t="array" aca="1" ref="N21" ca="1">IF(BSPutImVol(Greeks!$R$6,VolatilitySurface!$B21,Greeks!$D$3,Greeks!$D$4,VolatilitySurface!N$26,VLOOKUP($B21,INDIRECT("'"&amp;N$2&amp;"'!I2:K45"),3))&gt;0.001,BSPutImVol(Greeks!$R$6,VolatilitySurface!$B21,Greeks!$D$3,Greeks!$D$4,VolatilitySurface!N$26,VLOOKUP($B21,INDIRECT("'"&amp;N$2&amp;"'!I2:K45"),3)),"")</f>
        <v>0.25362055748701096</v>
      </c>
      <c r="O21" s="75" cm="1">
        <f t="array" aca="1" ref="O21" ca="1">IF(BSPutImVol(Greeks!$R$6,VolatilitySurface!$B21,Greeks!$D$3,Greeks!$D$4,VolatilitySurface!O$26,VLOOKUP($B21,INDIRECT("'"&amp;O$2&amp;"'!I2:K45"),3))&gt;0.001,BSPutImVol(Greeks!$R$6,VolatilitySurface!$B21,Greeks!$D$3,Greeks!$D$4,VolatilitySurface!O$26,VLOOKUP($B21,INDIRECT("'"&amp;O$2&amp;"'!I2:K45"),3)),"")</f>
        <v>0.267145074903965</v>
      </c>
    </row>
    <row r="22" spans="1:15" x14ac:dyDescent="0.2">
      <c r="B22" s="78">
        <v>285</v>
      </c>
      <c r="C22" s="75" cm="1">
        <f t="array" aca="1" ref="C22" ca="1">IF(BSPutImVol(Greeks!$R$6,VolatilitySurface!$B22,Greeks!$D$3,Greeks!$D$4,VolatilitySurface!C$26,VLOOKUP($B22,INDIRECT("'"&amp;C$2&amp;"'!I2:K45"),3))&gt;0.001,BSPutImVol(Greeks!$R$6,VolatilitySurface!$B22,Greeks!$D$3,Greeks!$D$4,VolatilitySurface!C$26,VLOOKUP($B22,INDIRECT("'"&amp;C$2&amp;"'!I2:K45"),3)),"")</f>
        <v>1.4404162392020226</v>
      </c>
      <c r="D22" s="75" t="str" cm="1">
        <f t="array" aca="1" ref="D22" ca="1">IF(BSPutImVol(Greeks!$R$6,VolatilitySurface!$B22,Greeks!$D$3,Greeks!$D$4,VolatilitySurface!D$26,VLOOKUP($B22,INDIRECT("'"&amp;D$2&amp;"'!I2:K45"),3))&gt;0.001,BSPutImVol(Greeks!$R$6,VolatilitySurface!$B22,Greeks!$D$3,Greeks!$D$4,VolatilitySurface!D$26,VLOOKUP($B22,INDIRECT("'"&amp;D$2&amp;"'!I2:K45"),3)),"")</f>
        <v/>
      </c>
      <c r="E22" s="75" t="str" cm="1">
        <f t="array" aca="1" ref="E22" ca="1">IF(BSPutImVol(Greeks!$R$6,VolatilitySurface!$B22,Greeks!$D$3,Greeks!$D$4,VolatilitySurface!E$26,VLOOKUP($B22,INDIRECT("'"&amp;E$2&amp;"'!I2:K45"),3))&gt;0.001,BSPutImVol(Greeks!$R$6,VolatilitySurface!$B22,Greeks!$D$3,Greeks!$D$4,VolatilitySurface!E$26,VLOOKUP($B22,INDIRECT("'"&amp;E$2&amp;"'!I2:K45"),3)),"")</f>
        <v/>
      </c>
      <c r="F22" s="75" t="str" cm="1">
        <f t="array" aca="1" ref="F22" ca="1">IF(BSPutImVol(Greeks!$R$6,VolatilitySurface!$B22,Greeks!$D$3,Greeks!$D$4,VolatilitySurface!F$26,VLOOKUP($B22,INDIRECT("'"&amp;F$2&amp;"'!I2:K45"),3))&gt;0.001,BSPutImVol(Greeks!$R$6,VolatilitySurface!$B22,Greeks!$D$3,Greeks!$D$4,VolatilitySurface!F$26,VLOOKUP($B22,INDIRECT("'"&amp;F$2&amp;"'!I2:K45"),3)),"")</f>
        <v/>
      </c>
      <c r="G22" s="75" t="str" cm="1">
        <f t="array" aca="1" ref="G22" ca="1">IF(BSPutImVol(Greeks!$R$6,VolatilitySurface!$B22,Greeks!$D$3,Greeks!$D$4,VolatilitySurface!G$26,VLOOKUP($B22,INDIRECT("'"&amp;G$2&amp;"'!I2:K45"),3))&gt;0.001,BSPutImVol(Greeks!$R$6,VolatilitySurface!$B22,Greeks!$D$3,Greeks!$D$4,VolatilitySurface!G$26,VLOOKUP($B22,INDIRECT("'"&amp;G$2&amp;"'!I2:K45"),3)),"")</f>
        <v/>
      </c>
      <c r="H22" s="75" t="str" cm="1">
        <f t="array" aca="1" ref="H22" ca="1">IF(BSPutImVol(Greeks!$R$6,VolatilitySurface!$B22,Greeks!$D$3,Greeks!$D$4,VolatilitySurface!H$26,VLOOKUP($B22,INDIRECT("'"&amp;H$2&amp;"'!I2:K45"),3))&gt;0.001,BSPutImVol(Greeks!$R$6,VolatilitySurface!$B22,Greeks!$D$3,Greeks!$D$4,VolatilitySurface!H$26,VLOOKUP($B22,INDIRECT("'"&amp;H$2&amp;"'!I2:K45"),3)),"")</f>
        <v/>
      </c>
      <c r="I22" s="75" cm="1">
        <f t="array" aca="1" ref="I22" ca="1">IF(BSPutImVol(Greeks!$R$6,VolatilitySurface!$B22,Greeks!$D$3,Greeks!$D$4,VolatilitySurface!I$26,VLOOKUP($B22,INDIRECT("'"&amp;I$2&amp;"'!I2:K45"),3))&gt;0.001,BSPutImVol(Greeks!$R$6,VolatilitySurface!$B22,Greeks!$D$3,Greeks!$D$4,VolatilitySurface!I$26,VLOOKUP($B22,INDIRECT("'"&amp;I$2&amp;"'!I2:K45"),3)),"")</f>
        <v>0.22452797740697861</v>
      </c>
      <c r="J22" s="75" cm="1">
        <f t="array" aca="1" ref="J22" ca="1">IF(BSPutImVol(Greeks!$R$6,VolatilitySurface!$B22,Greeks!$D$3,Greeks!$D$4,VolatilitySurface!J$26,VLOOKUP($B22,INDIRECT("'"&amp;J$2&amp;"'!I2:K45"),3))&gt;0.001,BSPutImVol(Greeks!$R$6,VolatilitySurface!$B22,Greeks!$D$3,Greeks!$D$4,VolatilitySurface!J$26,VLOOKUP($B22,INDIRECT("'"&amp;J$2&amp;"'!I2:K45"),3)),"")</f>
        <v>0.39717208594083786</v>
      </c>
      <c r="K22" s="75" cm="1">
        <f t="array" aca="1" ref="K22" ca="1">IF(BSPutImVol(Greeks!$R$6,VolatilitySurface!$B22,Greeks!$D$3,Greeks!$D$4,VolatilitySurface!K$26,VLOOKUP($B22,INDIRECT("'"&amp;K$2&amp;"'!I2:K45"),3))&gt;0.001,BSPutImVol(Greeks!$R$6,VolatilitySurface!$B22,Greeks!$D$3,Greeks!$D$4,VolatilitySurface!K$26,VLOOKUP($B22,INDIRECT("'"&amp;K$2&amp;"'!I2:K45"),3)),"")</f>
        <v>0.4415067657828331</v>
      </c>
      <c r="L22" s="75" t="str" cm="1">
        <f t="array" aca="1" ref="L22" ca="1">IF(BSPutImVol(Greeks!$R$6,VolatilitySurface!$B22,Greeks!$D$3,Greeks!$D$4,VolatilitySurface!L$26,VLOOKUP($B22,INDIRECT("'"&amp;L$2&amp;"'!I2:K45"),3))&gt;0.001,BSPutImVol(Greeks!$R$6,VolatilitySurface!$B22,Greeks!$D$3,Greeks!$D$4,VolatilitySurface!L$26,VLOOKUP($B22,INDIRECT("'"&amp;L$2&amp;"'!I2:K45"),3)),"")</f>
        <v/>
      </c>
      <c r="M22" s="75" cm="1">
        <f t="array" aca="1" ref="M22" ca="1">IF(BSPutImVol(Greeks!$R$6,VolatilitySurface!$B22,Greeks!$D$3,Greeks!$D$4,VolatilitySurface!M$26,VLOOKUP($B22,INDIRECT("'"&amp;M$2&amp;"'!I2:K45"),3))&gt;0.001,BSPutImVol(Greeks!$R$6,VolatilitySurface!$B22,Greeks!$D$3,Greeks!$D$4,VolatilitySurface!M$26,VLOOKUP($B22,INDIRECT("'"&amp;M$2&amp;"'!I2:K45"),3)),"")</f>
        <v>0.24955388158559799</v>
      </c>
      <c r="N22" s="75" cm="1">
        <f t="array" aca="1" ref="N22" ca="1">IF(BSPutImVol(Greeks!$R$6,VolatilitySurface!$B22,Greeks!$D$3,Greeks!$D$4,VolatilitySurface!N$26,VLOOKUP($B22,INDIRECT("'"&amp;N$2&amp;"'!I2:K45"),3))&gt;0.001,BSPutImVol(Greeks!$R$6,VolatilitySurface!$B22,Greeks!$D$3,Greeks!$D$4,VolatilitySurface!N$26,VLOOKUP($B22,INDIRECT("'"&amp;N$2&amp;"'!I2:K45"),3)),"")</f>
        <v>0.40242467075586319</v>
      </c>
      <c r="O22" s="75" cm="1">
        <f t="array" aca="1" ref="O22" ca="1">IF(BSPutImVol(Greeks!$R$6,VolatilitySurface!$B22,Greeks!$D$3,Greeks!$D$4,VolatilitySurface!O$26,VLOOKUP($B22,INDIRECT("'"&amp;O$2&amp;"'!I2:K45"),3))&gt;0.001,BSPutImVol(Greeks!$R$6,VolatilitySurface!$B22,Greeks!$D$3,Greeks!$D$4,VolatilitySurface!O$26,VLOOKUP($B22,INDIRECT("'"&amp;O$2&amp;"'!I2:K45"),3)),"")</f>
        <v>0.28407562524080276</v>
      </c>
    </row>
    <row r="23" spans="1:15" x14ac:dyDescent="0.2">
      <c r="B23" s="78">
        <v>290</v>
      </c>
      <c r="C23" s="75" t="str" cm="1">
        <f t="array" aca="1" ref="C23" ca="1">IF(BSPutImVol(Greeks!$R$6,VolatilitySurface!$B23,Greeks!$D$3,Greeks!$D$4,VolatilitySurface!C$26,VLOOKUP($B23,INDIRECT("'"&amp;C$2&amp;"'!I2:K45"),3))&gt;0.001,BSPutImVol(Greeks!$R$6,VolatilitySurface!$B23,Greeks!$D$3,Greeks!$D$4,VolatilitySurface!C$26,VLOOKUP($B23,INDIRECT("'"&amp;C$2&amp;"'!I2:K45"),3)),"")</f>
        <v/>
      </c>
      <c r="D23" s="75" t="str" cm="1">
        <f t="array" aca="1" ref="D23" ca="1">IF(BSPutImVol(Greeks!$R$6,VolatilitySurface!$B23,Greeks!$D$3,Greeks!$D$4,VolatilitySurface!D$26,VLOOKUP($B23,INDIRECT("'"&amp;D$2&amp;"'!I2:K45"),3))&gt;0.001,BSPutImVol(Greeks!$R$6,VolatilitySurface!$B23,Greeks!$D$3,Greeks!$D$4,VolatilitySurface!D$26,VLOOKUP($B23,INDIRECT("'"&amp;D$2&amp;"'!I2:K45"),3)),"")</f>
        <v/>
      </c>
      <c r="E23" s="75" t="str" cm="1">
        <f t="array" aca="1" ref="E23" ca="1">IF(BSPutImVol(Greeks!$R$6,VolatilitySurface!$B23,Greeks!$D$3,Greeks!$D$4,VolatilitySurface!E$26,VLOOKUP($B23,INDIRECT("'"&amp;E$2&amp;"'!I2:K45"),3))&gt;0.001,BSPutImVol(Greeks!$R$6,VolatilitySurface!$B23,Greeks!$D$3,Greeks!$D$4,VolatilitySurface!E$26,VLOOKUP($B23,INDIRECT("'"&amp;E$2&amp;"'!I2:K45"),3)),"")</f>
        <v/>
      </c>
      <c r="F23" s="75" cm="1">
        <f t="array" aca="1" ref="F23" ca="1">IF(BSPutImVol(Greeks!$R$6,VolatilitySurface!$B23,Greeks!$D$3,Greeks!$D$4,VolatilitySurface!F$26,VLOOKUP($B23,INDIRECT("'"&amp;F$2&amp;"'!I2:K45"),3))&gt;0.001,BSPutImVol(Greeks!$R$6,VolatilitySurface!$B23,Greeks!$D$3,Greeks!$D$4,VolatilitySurface!F$26,VLOOKUP($B23,INDIRECT("'"&amp;F$2&amp;"'!I2:K45"),3)),"")</f>
        <v>0.51540706306695938</v>
      </c>
      <c r="G23" s="75" t="str" cm="1">
        <f t="array" aca="1" ref="G23" ca="1">IF(BSPutImVol(Greeks!$R$6,VolatilitySurface!$B23,Greeks!$D$3,Greeks!$D$4,VolatilitySurface!G$26,VLOOKUP($B23,INDIRECT("'"&amp;G$2&amp;"'!I2:K45"),3))&gt;0.001,BSPutImVol(Greeks!$R$6,VolatilitySurface!$B23,Greeks!$D$3,Greeks!$D$4,VolatilitySurface!G$26,VLOOKUP($B23,INDIRECT("'"&amp;G$2&amp;"'!I2:K45"),3)),"")</f>
        <v/>
      </c>
      <c r="H23" s="75" t="str" cm="1">
        <f t="array" aca="1" ref="H23" ca="1">IF(BSPutImVol(Greeks!$R$6,VolatilitySurface!$B23,Greeks!$D$3,Greeks!$D$4,VolatilitySurface!H$26,VLOOKUP($B23,INDIRECT("'"&amp;H$2&amp;"'!I2:K45"),3))&gt;0.001,BSPutImVol(Greeks!$R$6,VolatilitySurface!$B23,Greeks!$D$3,Greeks!$D$4,VolatilitySurface!H$26,VLOOKUP($B23,INDIRECT("'"&amp;H$2&amp;"'!I2:K45"),3)),"")</f>
        <v/>
      </c>
      <c r="I23" s="75" cm="1">
        <f t="array" aca="1" ref="I23" ca="1">IF(BSPutImVol(Greeks!$R$6,VolatilitySurface!$B23,Greeks!$D$3,Greeks!$D$4,VolatilitySurface!I$26,VLOOKUP($B23,INDIRECT("'"&amp;I$2&amp;"'!I2:K45"),3))&gt;0.001,BSPutImVol(Greeks!$R$6,VolatilitySurface!$B23,Greeks!$D$3,Greeks!$D$4,VolatilitySurface!I$26,VLOOKUP($B23,INDIRECT("'"&amp;I$2&amp;"'!I2:K45"),3)),"")</f>
        <v>0.25211494415998459</v>
      </c>
      <c r="J23" s="75" cm="1">
        <f t="array" aca="1" ref="J23" ca="1">IF(BSPutImVol(Greeks!$R$6,VolatilitySurface!$B23,Greeks!$D$3,Greeks!$D$4,VolatilitySurface!J$26,VLOOKUP($B23,INDIRECT("'"&amp;J$2&amp;"'!I2:K45"),3))&gt;0.001,BSPutImVol(Greeks!$R$6,VolatilitySurface!$B23,Greeks!$D$3,Greeks!$D$4,VolatilitySurface!J$26,VLOOKUP($B23,INDIRECT("'"&amp;J$2&amp;"'!I2:K45"),3)),"")</f>
        <v>0.53378868848085403</v>
      </c>
      <c r="K23" s="75" cm="1">
        <f t="array" aca="1" ref="K23" ca="1">IF(BSPutImVol(Greeks!$R$6,VolatilitySurface!$B23,Greeks!$D$3,Greeks!$D$4,VolatilitySurface!K$26,VLOOKUP($B23,INDIRECT("'"&amp;K$2&amp;"'!I2:K45"),3))&gt;0.001,BSPutImVol(Greeks!$R$6,VolatilitySurface!$B23,Greeks!$D$3,Greeks!$D$4,VolatilitySurface!K$26,VLOOKUP($B23,INDIRECT("'"&amp;K$2&amp;"'!I2:K45"),3)),"")</f>
        <v>0.52008632570505142</v>
      </c>
      <c r="L23" s="75" t="str" cm="1">
        <f t="array" aca="1" ref="L23" ca="1">IF(BSPutImVol(Greeks!$R$6,VolatilitySurface!$B23,Greeks!$D$3,Greeks!$D$4,VolatilitySurface!L$26,VLOOKUP($B23,INDIRECT("'"&amp;L$2&amp;"'!I2:K45"),3))&gt;0.001,BSPutImVol(Greeks!$R$6,VolatilitySurface!$B23,Greeks!$D$3,Greeks!$D$4,VolatilitySurface!L$26,VLOOKUP($B23,INDIRECT("'"&amp;L$2&amp;"'!I2:K45"),3)),"")</f>
        <v/>
      </c>
      <c r="M23" s="75" cm="1">
        <f t="array" aca="1" ref="M23" ca="1">IF(BSPutImVol(Greeks!$R$6,VolatilitySurface!$B23,Greeks!$D$3,Greeks!$D$4,VolatilitySurface!M$26,VLOOKUP($B23,INDIRECT("'"&amp;M$2&amp;"'!I2:K45"),3))&gt;0.001,BSPutImVol(Greeks!$R$6,VolatilitySurface!$B23,Greeks!$D$3,Greeks!$D$4,VolatilitySurface!M$26,VLOOKUP($B23,INDIRECT("'"&amp;M$2&amp;"'!I2:K45"),3)),"")</f>
        <v>0.20193401724100113</v>
      </c>
      <c r="N23" s="75" cm="1">
        <f t="array" aca="1" ref="N23" ca="1">IF(BSPutImVol(Greeks!$R$6,VolatilitySurface!$B23,Greeks!$D$3,Greeks!$D$4,VolatilitySurface!N$26,VLOOKUP($B23,INDIRECT("'"&amp;N$2&amp;"'!I2:K45"),3))&gt;0.001,BSPutImVol(Greeks!$R$6,VolatilitySurface!$B23,Greeks!$D$3,Greeks!$D$4,VolatilitySurface!N$26,VLOOKUP($B23,INDIRECT("'"&amp;N$2&amp;"'!I2:K45"),3)),"")</f>
        <v>0.25731775909662247</v>
      </c>
      <c r="O23" s="75" cm="1">
        <f t="array" aca="1" ref="O23" ca="1">IF(BSPutImVol(Greeks!$R$6,VolatilitySurface!$B23,Greeks!$D$3,Greeks!$D$4,VolatilitySurface!O$26,VLOOKUP($B23,INDIRECT("'"&amp;O$2&amp;"'!I2:K45"),3))&gt;0.001,BSPutImVol(Greeks!$R$6,VolatilitySurface!$B23,Greeks!$D$3,Greeks!$D$4,VolatilitySurface!O$26,VLOOKUP($B23,INDIRECT("'"&amp;O$2&amp;"'!I2:K45"),3)),"")</f>
        <v>0.41775856167078018</v>
      </c>
    </row>
    <row r="24" spans="1:15" x14ac:dyDescent="0.2">
      <c r="B24" s="78">
        <v>295</v>
      </c>
      <c r="C24" s="75" t="str" cm="1">
        <f t="array" aca="1" ref="C24" ca="1">IF(BSPutImVol(Greeks!$R$6,VolatilitySurface!$B24,Greeks!$D$3,Greeks!$D$4,VolatilitySurface!C$26,VLOOKUP($B24,INDIRECT("'"&amp;C$2&amp;"'!I2:K45"),3))&gt;0.001,BSPutImVol(Greeks!$R$6,VolatilitySurface!$B24,Greeks!$D$3,Greeks!$D$4,VolatilitySurface!C$26,VLOOKUP($B24,INDIRECT("'"&amp;C$2&amp;"'!I2:K45"),3)),"")</f>
        <v/>
      </c>
      <c r="D24" s="75" t="str" cm="1">
        <f t="array" aca="1" ref="D24" ca="1">IF(BSPutImVol(Greeks!$R$6,VolatilitySurface!$B24,Greeks!$D$3,Greeks!$D$4,VolatilitySurface!D$26,VLOOKUP($B24,INDIRECT("'"&amp;D$2&amp;"'!I2:K45"),3))&gt;0.001,BSPutImVol(Greeks!$R$6,VolatilitySurface!$B24,Greeks!$D$3,Greeks!$D$4,VolatilitySurface!D$26,VLOOKUP($B24,INDIRECT("'"&amp;D$2&amp;"'!I2:K45"),3)),"")</f>
        <v/>
      </c>
      <c r="E24" s="75" t="str" cm="1">
        <f t="array" aca="1" ref="E24" ca="1">IF(BSPutImVol(Greeks!$R$6,VolatilitySurface!$B24,Greeks!$D$3,Greeks!$D$4,VolatilitySurface!E$26,VLOOKUP($B24,INDIRECT("'"&amp;E$2&amp;"'!I2:K45"),3))&gt;0.001,BSPutImVol(Greeks!$R$6,VolatilitySurface!$B24,Greeks!$D$3,Greeks!$D$4,VolatilitySurface!E$26,VLOOKUP($B24,INDIRECT("'"&amp;E$2&amp;"'!I2:K45"),3)),"")</f>
        <v/>
      </c>
      <c r="F24" s="75" cm="1">
        <f t="array" aca="1" ref="F24" ca="1">IF(BSPutImVol(Greeks!$R$6,VolatilitySurface!$B24,Greeks!$D$3,Greeks!$D$4,VolatilitySurface!F$26,VLOOKUP($B24,INDIRECT("'"&amp;F$2&amp;"'!I2:K45"),3))&gt;0.001,BSPutImVol(Greeks!$R$6,VolatilitySurface!$B24,Greeks!$D$3,Greeks!$D$4,VolatilitySurface!F$26,VLOOKUP($B24,INDIRECT("'"&amp;F$2&amp;"'!I2:K45"),3)),"")</f>
        <v>0.89218262583017349</v>
      </c>
      <c r="G24" s="75" t="str" cm="1">
        <f t="array" aca="1" ref="G24" ca="1">IF(BSPutImVol(Greeks!$R$6,VolatilitySurface!$B24,Greeks!$D$3,Greeks!$D$4,VolatilitySurface!G$26,VLOOKUP($B24,INDIRECT("'"&amp;G$2&amp;"'!I2:K45"),3))&gt;0.001,BSPutImVol(Greeks!$R$6,VolatilitySurface!$B24,Greeks!$D$3,Greeks!$D$4,VolatilitySurface!G$26,VLOOKUP($B24,INDIRECT("'"&amp;G$2&amp;"'!I2:K45"),3)),"")</f>
        <v/>
      </c>
      <c r="H24" s="75" t="str" cm="1">
        <f t="array" aca="1" ref="H24" ca="1">IF(BSPutImVol(Greeks!$R$6,VolatilitySurface!$B24,Greeks!$D$3,Greeks!$D$4,VolatilitySurface!H$26,VLOOKUP($B24,INDIRECT("'"&amp;H$2&amp;"'!I2:K45"),3))&gt;0.001,BSPutImVol(Greeks!$R$6,VolatilitySurface!$B24,Greeks!$D$3,Greeks!$D$4,VolatilitySurface!H$26,VLOOKUP($B24,INDIRECT("'"&amp;H$2&amp;"'!I2:K45"),3)),"")</f>
        <v/>
      </c>
      <c r="I24" s="75" cm="1">
        <f t="array" aca="1" ref="I24" ca="1">IF(BSPutImVol(Greeks!$R$6,VolatilitySurface!$B24,Greeks!$D$3,Greeks!$D$4,VolatilitySurface!I$26,VLOOKUP($B24,INDIRECT("'"&amp;I$2&amp;"'!I2:K45"),3))&gt;0.001,BSPutImVol(Greeks!$R$6,VolatilitySurface!$B24,Greeks!$D$3,Greeks!$D$4,VolatilitySurface!I$26,VLOOKUP($B24,INDIRECT("'"&amp;I$2&amp;"'!I2:K45"),3)),"")</f>
        <v>0.28061602264642715</v>
      </c>
      <c r="J24" s="75" t="str" cm="1">
        <f t="array" aca="1" ref="J24" ca="1">IF(BSPutImVol(Greeks!$R$6,VolatilitySurface!$B24,Greeks!$D$3,Greeks!$D$4,VolatilitySurface!J$26,VLOOKUP($B24,INDIRECT("'"&amp;J$2&amp;"'!I2:K45"),3))&gt;0.001,BSPutImVol(Greeks!$R$6,VolatilitySurface!$B24,Greeks!$D$3,Greeks!$D$4,VolatilitySurface!J$26,VLOOKUP($B24,INDIRECT("'"&amp;J$2&amp;"'!I2:K45"),3)),"")</f>
        <v/>
      </c>
      <c r="K24" s="75" cm="1">
        <f t="array" aca="1" ref="K24" ca="1">IF(BSPutImVol(Greeks!$R$6,VolatilitySurface!$B24,Greeks!$D$3,Greeks!$D$4,VolatilitySurface!K$26,VLOOKUP($B24,INDIRECT("'"&amp;K$2&amp;"'!I2:K45"),3))&gt;0.001,BSPutImVol(Greeks!$R$6,VolatilitySurface!$B24,Greeks!$D$3,Greeks!$D$4,VolatilitySurface!K$26,VLOOKUP($B24,INDIRECT("'"&amp;K$2&amp;"'!I2:K45"),3)),"")</f>
        <v>0.6380641832947731</v>
      </c>
      <c r="L24" s="75" cm="1">
        <f t="array" aca="1" ref="L24" ca="1">IF(BSPutImVol(Greeks!$R$6,VolatilitySurface!$B24,Greeks!$D$3,Greeks!$D$4,VolatilitySurface!L$26,VLOOKUP($B24,INDIRECT("'"&amp;L$2&amp;"'!I2:K45"),3))&gt;0.001,BSPutImVol(Greeks!$R$6,VolatilitySurface!$B24,Greeks!$D$3,Greeks!$D$4,VolatilitySurface!L$26,VLOOKUP($B24,INDIRECT("'"&amp;L$2&amp;"'!I2:K45"),3)),"")</f>
        <v>0.49964677542448044</v>
      </c>
      <c r="M24" s="75" cm="1">
        <f t="array" aca="1" ref="M24" ca="1">IF(BSPutImVol(Greeks!$R$6,VolatilitySurface!$B24,Greeks!$D$3,Greeks!$D$4,VolatilitySurface!M$26,VLOOKUP($B24,INDIRECT("'"&amp;M$2&amp;"'!I2:K45"),3))&gt;0.001,BSPutImVol(Greeks!$R$6,VolatilitySurface!$B24,Greeks!$D$3,Greeks!$D$4,VolatilitySurface!M$26,VLOOKUP($B24,INDIRECT("'"&amp;M$2&amp;"'!I2:K45"),3)),"")</f>
        <v>0.13416130095720291</v>
      </c>
      <c r="N24" s="75" cm="1">
        <f t="array" aca="1" ref="N24" ca="1">IF(BSPutImVol(Greeks!$R$6,VolatilitySurface!$B24,Greeks!$D$3,Greeks!$D$4,VolatilitySurface!N$26,VLOOKUP($B24,INDIRECT("'"&amp;N$2&amp;"'!I2:K45"),3))&gt;0.001,BSPutImVol(Greeks!$R$6,VolatilitySurface!$B24,Greeks!$D$3,Greeks!$D$4,VolatilitySurface!N$26,VLOOKUP($B24,INDIRECT("'"&amp;N$2&amp;"'!I2:K45"),3)),"")</f>
        <v>0.28677057474851608</v>
      </c>
      <c r="O24" s="75" cm="1">
        <f t="array" aca="1" ref="O24" ca="1">IF(BSPutImVol(Greeks!$R$6,VolatilitySurface!$B24,Greeks!$D$3,Greeks!$D$4,VolatilitySurface!O$26,VLOOKUP($B24,INDIRECT("'"&amp;O$2&amp;"'!I2:K45"),3))&gt;0.001,BSPutImVol(Greeks!$R$6,VolatilitySurface!$B24,Greeks!$D$3,Greeks!$D$4,VolatilitySurface!O$26,VLOOKUP($B24,INDIRECT("'"&amp;O$2&amp;"'!I2:K45"),3)),"")</f>
        <v>0.29794905334711075</v>
      </c>
    </row>
    <row r="25" spans="1:15" x14ac:dyDescent="0.2">
      <c r="B25" s="78">
        <v>300</v>
      </c>
      <c r="C25" s="75" t="str" cm="1">
        <f t="array" aca="1" ref="C25" ca="1">IF(BSPutImVol(Greeks!$R$6,VolatilitySurface!$B25,Greeks!$D$3,Greeks!$D$4,VolatilitySurface!C$26,VLOOKUP($B25,INDIRECT("'"&amp;C$2&amp;"'!I2:K45"),3))&gt;0.001,BSPutImVol(Greeks!$R$6,VolatilitySurface!$B25,Greeks!$D$3,Greeks!$D$4,VolatilitySurface!C$26,VLOOKUP($B25,INDIRECT("'"&amp;C$2&amp;"'!I2:K45"),3)),"")</f>
        <v/>
      </c>
      <c r="D25" s="75" cm="1">
        <f t="array" aca="1" ref="D25" ca="1">IF(BSPutImVol(Greeks!$R$6,VolatilitySurface!$B25,Greeks!$D$3,Greeks!$D$4,VolatilitySurface!D$26,VLOOKUP($B25,INDIRECT("'"&amp;D$2&amp;"'!I2:K45"),3))&gt;0.001,BSPutImVol(Greeks!$R$6,VolatilitySurface!$B25,Greeks!$D$3,Greeks!$D$4,VolatilitySurface!D$26,VLOOKUP($B25,INDIRECT("'"&amp;D$2&amp;"'!I2:K45"),3)),"")</f>
        <v>0.43626222759485245</v>
      </c>
      <c r="E25" s="75" t="str" cm="1">
        <f t="array" aca="1" ref="E25" ca="1">IF(BSPutImVol(Greeks!$R$6,VolatilitySurface!$B25,Greeks!$D$3,Greeks!$D$4,VolatilitySurface!E$26,VLOOKUP($B25,INDIRECT("'"&amp;E$2&amp;"'!I2:K45"),3))&gt;0.001,BSPutImVol(Greeks!$R$6,VolatilitySurface!$B25,Greeks!$D$3,Greeks!$D$4,VolatilitySurface!E$26,VLOOKUP($B25,INDIRECT("'"&amp;E$2&amp;"'!I2:K45"),3)),"")</f>
        <v/>
      </c>
      <c r="F25" s="75" cm="1">
        <f t="array" aca="1" ref="F25" ca="1">IF(BSPutImVol(Greeks!$R$6,VolatilitySurface!$B25,Greeks!$D$3,Greeks!$D$4,VolatilitySurface!F$26,VLOOKUP($B25,INDIRECT("'"&amp;F$2&amp;"'!I2:K45"),3))&gt;0.001,BSPutImVol(Greeks!$R$6,VolatilitySurface!$B25,Greeks!$D$3,Greeks!$D$4,VolatilitySurface!F$26,VLOOKUP($B25,INDIRECT("'"&amp;F$2&amp;"'!I2:K45"),3)),"")</f>
        <v>0.22409800440073013</v>
      </c>
      <c r="G25" s="75" t="str" cm="1">
        <f t="array" aca="1" ref="G25" ca="1">IF(BSPutImVol(Greeks!$R$6,VolatilitySurface!$B25,Greeks!$D$3,Greeks!$D$4,VolatilitySurface!G$26,VLOOKUP($B25,INDIRECT("'"&amp;G$2&amp;"'!I2:K45"),3))&gt;0.001,BSPutImVol(Greeks!$R$6,VolatilitySurface!$B25,Greeks!$D$3,Greeks!$D$4,VolatilitySurface!G$26,VLOOKUP($B25,INDIRECT("'"&amp;G$2&amp;"'!I2:K45"),3)),"")</f>
        <v/>
      </c>
      <c r="H25" s="75" t="str" cm="1">
        <f t="array" aca="1" ref="H25" ca="1">IF(BSPutImVol(Greeks!$R$6,VolatilitySurface!$B25,Greeks!$D$3,Greeks!$D$4,VolatilitySurface!H$26,VLOOKUP($B25,INDIRECT("'"&amp;H$2&amp;"'!I2:K45"),3))&gt;0.001,BSPutImVol(Greeks!$R$6,VolatilitySurface!$B25,Greeks!$D$3,Greeks!$D$4,VolatilitySurface!H$26,VLOOKUP($B25,INDIRECT("'"&amp;H$2&amp;"'!I2:K45"),3)),"")</f>
        <v/>
      </c>
      <c r="I25" s="75" cm="1">
        <f t="array" aca="1" ref="I25" ca="1">IF(BSPutImVol(Greeks!$R$6,VolatilitySurface!$B25,Greeks!$D$3,Greeks!$D$4,VolatilitySurface!I$26,VLOOKUP($B25,INDIRECT("'"&amp;I$2&amp;"'!I2:K45"),3))&gt;0.001,BSPutImVol(Greeks!$R$6,VolatilitySurface!$B25,Greeks!$D$3,Greeks!$D$4,VolatilitySurface!I$26,VLOOKUP($B25,INDIRECT("'"&amp;I$2&amp;"'!I2:K45"),3)),"")</f>
        <v>0.24289462715387344</v>
      </c>
      <c r="J25" s="75" cm="1">
        <f t="array" aca="1" ref="J25" ca="1">IF(BSPutImVol(Greeks!$R$6,VolatilitySurface!$B25,Greeks!$D$3,Greeks!$D$4,VolatilitySurface!J$26,VLOOKUP($B25,INDIRECT("'"&amp;J$2&amp;"'!I2:K45"),3))&gt;0.001,BSPutImVol(Greeks!$R$6,VolatilitySurface!$B25,Greeks!$D$3,Greeks!$D$4,VolatilitySurface!J$26,VLOOKUP($B25,INDIRECT("'"&amp;J$2&amp;"'!I2:K45"),3)),"")</f>
        <v>0.60045693069696426</v>
      </c>
      <c r="K25" s="75" cm="1">
        <f t="array" aca="1" ref="K25" ca="1">IF(BSPutImVol(Greeks!$R$6,VolatilitySurface!$B25,Greeks!$D$3,Greeks!$D$4,VolatilitySurface!K$26,VLOOKUP($B25,INDIRECT("'"&amp;K$2&amp;"'!I2:K45"),3))&gt;0.001,BSPutImVol(Greeks!$R$6,VolatilitySurface!$B25,Greeks!$D$3,Greeks!$D$4,VolatilitySurface!K$26,VLOOKUP($B25,INDIRECT("'"&amp;K$2&amp;"'!I2:K45"),3)),"")</f>
        <v>0.26789698749780655</v>
      </c>
      <c r="L25" s="75" cm="1">
        <f t="array" aca="1" ref="L25" ca="1">IF(BSPutImVol(Greeks!$R$6,VolatilitySurface!$B25,Greeks!$D$3,Greeks!$D$4,VolatilitySurface!L$26,VLOOKUP($B25,INDIRECT("'"&amp;L$2&amp;"'!I2:K45"),3))&gt;0.001,BSPutImVol(Greeks!$R$6,VolatilitySurface!$B25,Greeks!$D$3,Greeks!$D$4,VolatilitySurface!L$26,VLOOKUP($B25,INDIRECT("'"&amp;L$2&amp;"'!I2:K45"),3)),"")</f>
        <v>0.55118437856435776</v>
      </c>
      <c r="M25" s="75" t="str" cm="1">
        <f t="array" aca="1" ref="M25" ca="1">IF(BSPutImVol(Greeks!$R$6,VolatilitySurface!$B25,Greeks!$D$3,Greeks!$D$4,VolatilitySurface!M$26,VLOOKUP($B25,INDIRECT("'"&amp;M$2&amp;"'!I2:K45"),3))&gt;0.001,BSPutImVol(Greeks!$R$6,VolatilitySurface!$B25,Greeks!$D$3,Greeks!$D$4,VolatilitySurface!M$26,VLOOKUP($B25,INDIRECT("'"&amp;M$2&amp;"'!I2:K45"),3)),"")</f>
        <v/>
      </c>
      <c r="N25" s="75" cm="1">
        <f t="array" aca="1" ref="N25" ca="1">IF(BSPutImVol(Greeks!$R$6,VolatilitySurface!$B25,Greeks!$D$3,Greeks!$D$4,VolatilitySurface!N$26,VLOOKUP($B25,INDIRECT("'"&amp;N$2&amp;"'!I2:K45"),3))&gt;0.001,BSPutImVol(Greeks!$R$6,VolatilitySurface!$B25,Greeks!$D$3,Greeks!$D$4,VolatilitySurface!N$26,VLOOKUP($B25,INDIRECT("'"&amp;N$2&amp;"'!I2:K45"),3)),"")</f>
        <v>0.24360056966543198</v>
      </c>
      <c r="O25" s="75" cm="1">
        <f t="array" aca="1" ref="O25" ca="1">IF(BSPutImVol(Greeks!$R$6,VolatilitySurface!$B25,Greeks!$D$3,Greeks!$D$4,VolatilitySurface!O$26,VLOOKUP($B25,INDIRECT("'"&amp;O$2&amp;"'!I2:K45"),3))&gt;0.001,BSPutImVol(Greeks!$R$6,VolatilitySurface!$B25,Greeks!$D$3,Greeks!$D$4,VolatilitySurface!O$26,VLOOKUP($B25,INDIRECT("'"&amp;O$2&amp;"'!I2:K45"),3)),"")</f>
        <v>0.26261176913976669</v>
      </c>
    </row>
    <row r="26" spans="1:15" x14ac:dyDescent="0.2">
      <c r="B26" t="s">
        <v>46</v>
      </c>
      <c r="C26" s="74">
        <f ca="1">(C4-NOW())*(5/7)*(1/252)</f>
        <v>5.1571528958814838E-2</v>
      </c>
      <c r="D26" s="74">
        <f t="shared" ref="D26:N26" ca="1" si="1">(D4-NOW())*(5/7)*(1/252)</f>
        <v>7.1412798800084679E-2</v>
      </c>
      <c r="E26" s="74">
        <f t="shared" ca="1" si="1"/>
        <v>9.1254068641354519E-2</v>
      </c>
      <c r="F26" s="74">
        <f t="shared" ca="1" si="1"/>
        <v>0.11109533848262436</v>
      </c>
      <c r="G26" s="74">
        <f t="shared" ca="1" si="1"/>
        <v>0.13093660832389423</v>
      </c>
      <c r="H26" s="74">
        <f t="shared" ca="1" si="1"/>
        <v>0.19046041784770373</v>
      </c>
      <c r="I26" s="74">
        <f t="shared" ca="1" si="1"/>
        <v>0.26982549721278309</v>
      </c>
      <c r="J26" s="74">
        <f t="shared" ca="1" si="1"/>
        <v>0.36903184641913228</v>
      </c>
      <c r="K26" s="74">
        <f t="shared" ca="1" si="1"/>
        <v>0.44839692578421164</v>
      </c>
      <c r="L26" s="74">
        <f t="shared" ca="1" si="1"/>
        <v>0.52776200514929106</v>
      </c>
      <c r="M26" s="74">
        <f t="shared" ca="1" si="1"/>
        <v>0.80553978292706874</v>
      </c>
      <c r="N26" s="74">
        <f t="shared" ca="1" si="1"/>
        <v>0.96426994165722746</v>
      </c>
      <c r="O26" s="74">
        <f ca="1">(O4-NOW())*(5/7)*(1/252)</f>
        <v>1.2222064495937355</v>
      </c>
    </row>
    <row r="38" s="2" customFormat="1" x14ac:dyDescent="0.2"/>
    <row r="39" s="2" customFormat="1" x14ac:dyDescent="0.2"/>
    <row r="40" s="2" customFormat="1" x14ac:dyDescent="0.2"/>
    <row r="41" s="2" customFormat="1" x14ac:dyDescent="0.2"/>
    <row r="42" s="2" customFormat="1" x14ac:dyDescent="0.2"/>
    <row r="43" s="2" customFormat="1" x14ac:dyDescent="0.2"/>
    <row r="44" s="2" customFormat="1" x14ac:dyDescent="0.2"/>
    <row r="45" s="2" customFormat="1" x14ac:dyDescent="0.2"/>
    <row r="47" s="2" customFormat="1" x14ac:dyDescent="0.2"/>
    <row r="48" s="2" customFormat="1" x14ac:dyDescent="0.2"/>
    <row r="51" spans="2:30" x14ac:dyDescent="0.2">
      <c r="B51" t="s">
        <v>43</v>
      </c>
      <c r="C51" t="s">
        <v>44</v>
      </c>
      <c r="D51" s="8" t="s">
        <v>45</v>
      </c>
      <c r="E51" t="s">
        <v>56</v>
      </c>
      <c r="F51" t="s">
        <v>43</v>
      </c>
      <c r="G51" t="s">
        <v>47</v>
      </c>
      <c r="H51" t="s">
        <v>44</v>
      </c>
      <c r="I51" t="s">
        <v>48</v>
      </c>
      <c r="J51" t="s">
        <v>49</v>
      </c>
      <c r="L51" t="s">
        <v>57</v>
      </c>
      <c r="M51" t="s">
        <v>55</v>
      </c>
      <c r="N51" t="s">
        <v>54</v>
      </c>
      <c r="O51" t="s">
        <v>53</v>
      </c>
      <c r="P51" t="s">
        <v>52</v>
      </c>
      <c r="Q51" t="s">
        <v>51</v>
      </c>
    </row>
    <row r="52" spans="2:30" x14ac:dyDescent="0.2">
      <c r="B52">
        <v>200</v>
      </c>
      <c r="C52" s="74">
        <v>5.1879477080190285E-2</v>
      </c>
      <c r="D52" s="79">
        <v>0.51419999999999999</v>
      </c>
      <c r="E52">
        <f>Q52+P52*F52+O52*G52+N52*H52+M52*I52+L52*J52</f>
        <v>0.4322264337543173</v>
      </c>
      <c r="F52">
        <f>B52</f>
        <v>200</v>
      </c>
      <c r="G52">
        <f>F52^2</f>
        <v>40000</v>
      </c>
      <c r="H52">
        <f>C52</f>
        <v>5.1879477080190285E-2</v>
      </c>
      <c r="I52">
        <f>H52^2</f>
        <v>2.691480142113989E-3</v>
      </c>
      <c r="J52">
        <f>F52*H52</f>
        <v>10.375895416038057</v>
      </c>
      <c r="L52" cm="1">
        <f t="array" ref="L52:Q56">LINEST(D52:D204,F52:J204,TRUE,TRUE)</f>
        <v>1.8173833762535137E-3</v>
      </c>
      <c r="M52">
        <v>0.13494193185883771</v>
      </c>
      <c r="N52">
        <v>-0.61993335861653598</v>
      </c>
      <c r="O52">
        <v>4.5963504506078834E-5</v>
      </c>
      <c r="P52">
        <v>-2.4054057119112092E-2</v>
      </c>
      <c r="Q52">
        <v>3.417439322430385</v>
      </c>
    </row>
    <row r="53" spans="2:30" x14ac:dyDescent="0.2">
      <c r="B53">
        <v>205</v>
      </c>
      <c r="C53" s="74">
        <v>5.1879477080190285E-2</v>
      </c>
      <c r="D53" s="79">
        <v>0.48809999999999998</v>
      </c>
      <c r="E53" s="2">
        <f t="shared" ref="E53:E116" si="2">$Q$52+$P$52*F53+$O$52*G53+$N$52*H53+$M$52*I53+$L$52*J53</f>
        <v>0.40550366927963805</v>
      </c>
      <c r="F53" s="2">
        <f t="shared" ref="F53:F116" si="3">B53</f>
        <v>205</v>
      </c>
      <c r="G53" s="2">
        <f t="shared" ref="G53:G116" si="4">F53^2</f>
        <v>42025</v>
      </c>
      <c r="H53" s="2">
        <f t="shared" ref="H53:H116" si="5">C53</f>
        <v>5.1879477080190285E-2</v>
      </c>
      <c r="I53" s="2">
        <f t="shared" ref="I53:I116" si="6">H53^2</f>
        <v>2.691480142113989E-3</v>
      </c>
      <c r="J53" s="2">
        <f t="shared" ref="J53:J116" si="7">F53*H53</f>
        <v>10.635292801439009</v>
      </c>
      <c r="L53">
        <v>3.3497549110963532E-4</v>
      </c>
      <c r="M53">
        <v>2.8861340212186157E-2</v>
      </c>
      <c r="N53">
        <v>8.7901253930966178E-2</v>
      </c>
      <c r="O53">
        <v>6.2811611841423184E-6</v>
      </c>
      <c r="P53">
        <v>3.0219898020132233E-3</v>
      </c>
      <c r="Q53">
        <v>0.36149466525899254</v>
      </c>
    </row>
    <row r="54" spans="2:30" x14ac:dyDescent="0.2">
      <c r="B54">
        <v>210</v>
      </c>
      <c r="C54" s="74">
        <v>5.1879477080190285E-2</v>
      </c>
      <c r="D54" s="79">
        <v>0.46700000000000003</v>
      </c>
      <c r="E54" s="2">
        <f t="shared" si="2"/>
        <v>0.38107908003026164</v>
      </c>
      <c r="F54" s="2">
        <f t="shared" si="3"/>
        <v>210</v>
      </c>
      <c r="G54" s="2">
        <f t="shared" si="4"/>
        <v>44100</v>
      </c>
      <c r="H54" s="2">
        <f t="shared" si="5"/>
        <v>5.1879477080190285E-2</v>
      </c>
      <c r="I54" s="2">
        <f t="shared" si="6"/>
        <v>2.691480142113989E-3</v>
      </c>
      <c r="J54" s="2">
        <f t="shared" si="7"/>
        <v>10.894690186839959</v>
      </c>
      <c r="L54">
        <v>0.55507460993640079</v>
      </c>
      <c r="M54">
        <v>4.1477071337455602E-2</v>
      </c>
      <c r="N54" t="e">
        <v>#N/A</v>
      </c>
      <c r="O54" t="e">
        <v>#N/A</v>
      </c>
      <c r="P54" t="e">
        <v>#N/A</v>
      </c>
      <c r="Q54" t="e">
        <v>#N/A</v>
      </c>
    </row>
    <row r="55" spans="2:30" x14ac:dyDescent="0.2">
      <c r="B55">
        <v>215</v>
      </c>
      <c r="C55" s="74">
        <v>5.1879477080190285E-2</v>
      </c>
      <c r="D55" s="79">
        <v>0.4269</v>
      </c>
      <c r="E55" s="2">
        <f t="shared" si="2"/>
        <v>0.35895266600619058</v>
      </c>
      <c r="F55" s="2">
        <f t="shared" si="3"/>
        <v>215</v>
      </c>
      <c r="G55" s="2">
        <f t="shared" si="4"/>
        <v>46225</v>
      </c>
      <c r="H55" s="2">
        <f t="shared" si="5"/>
        <v>5.1879477080190285E-2</v>
      </c>
      <c r="I55" s="2">
        <f t="shared" si="6"/>
        <v>2.691480142113989E-3</v>
      </c>
      <c r="J55" s="2">
        <f t="shared" si="7"/>
        <v>11.154087572240911</v>
      </c>
      <c r="L55">
        <v>36.678494634341853</v>
      </c>
      <c r="M55">
        <v>147</v>
      </c>
      <c r="N55" t="e">
        <v>#N/A</v>
      </c>
      <c r="O55" t="e">
        <v>#N/A</v>
      </c>
      <c r="P55" t="e">
        <v>#N/A</v>
      </c>
      <c r="Q55" t="e">
        <v>#N/A</v>
      </c>
    </row>
    <row r="56" spans="2:30" x14ac:dyDescent="0.2">
      <c r="B56">
        <v>220</v>
      </c>
      <c r="C56" s="74">
        <v>5.1879477080190285E-2</v>
      </c>
      <c r="D56" s="79">
        <v>0.39229999999999998</v>
      </c>
      <c r="E56" s="2">
        <f t="shared" si="2"/>
        <v>0.3391244272074232</v>
      </c>
      <c r="F56" s="2">
        <f t="shared" si="3"/>
        <v>220</v>
      </c>
      <c r="G56" s="2">
        <f t="shared" si="4"/>
        <v>48400</v>
      </c>
      <c r="H56" s="2">
        <f t="shared" si="5"/>
        <v>5.1879477080190285E-2</v>
      </c>
      <c r="I56" s="2">
        <f t="shared" si="6"/>
        <v>2.691480142113989E-3</v>
      </c>
      <c r="J56" s="2">
        <f t="shared" si="7"/>
        <v>11.413484957641863</v>
      </c>
      <c r="L56">
        <v>0.31549877297088669</v>
      </c>
      <c r="M56">
        <v>0.25289107466965999</v>
      </c>
      <c r="N56" t="e">
        <v>#N/A</v>
      </c>
      <c r="O56" t="e">
        <v>#N/A</v>
      </c>
      <c r="P56" t="e">
        <v>#N/A</v>
      </c>
      <c r="Q56" t="e">
        <v>#N/A</v>
      </c>
    </row>
    <row r="57" spans="2:30" x14ac:dyDescent="0.2">
      <c r="B57">
        <v>225</v>
      </c>
      <c r="C57" s="74">
        <v>5.1879477080190285E-2</v>
      </c>
      <c r="D57" s="79">
        <v>0.35980000000000001</v>
      </c>
      <c r="E57" s="2">
        <f t="shared" si="2"/>
        <v>0.32159436363395871</v>
      </c>
      <c r="F57" s="2">
        <f t="shared" si="3"/>
        <v>225</v>
      </c>
      <c r="G57" s="2">
        <f t="shared" si="4"/>
        <v>50625</v>
      </c>
      <c r="H57" s="2">
        <f t="shared" si="5"/>
        <v>5.1879477080190285E-2</v>
      </c>
      <c r="I57" s="2">
        <f t="shared" si="6"/>
        <v>2.691480142113989E-3</v>
      </c>
      <c r="J57" s="2">
        <f t="shared" si="7"/>
        <v>11.672882343042815</v>
      </c>
    </row>
    <row r="58" spans="2:30" x14ac:dyDescent="0.2">
      <c r="B58">
        <v>230</v>
      </c>
      <c r="C58" s="74">
        <v>5.1879477080190285E-2</v>
      </c>
      <c r="D58" s="79">
        <v>0.33439999999999998</v>
      </c>
      <c r="E58" s="2">
        <f t="shared" si="2"/>
        <v>0.30636247528579924</v>
      </c>
      <c r="F58" s="2">
        <f t="shared" si="3"/>
        <v>230</v>
      </c>
      <c r="G58" s="2">
        <f t="shared" si="4"/>
        <v>52900</v>
      </c>
      <c r="H58" s="2">
        <f t="shared" si="5"/>
        <v>5.1879477080190285E-2</v>
      </c>
      <c r="I58" s="2">
        <f t="shared" si="6"/>
        <v>2.691480142113989E-3</v>
      </c>
      <c r="J58" s="2">
        <f t="shared" si="7"/>
        <v>11.932279728443765</v>
      </c>
      <c r="L58" t="s">
        <v>58</v>
      </c>
      <c r="M58" t="s">
        <v>59</v>
      </c>
      <c r="N58" t="s">
        <v>60</v>
      </c>
      <c r="O58" t="s">
        <v>61</v>
      </c>
      <c r="P58" t="s">
        <v>62</v>
      </c>
    </row>
    <row r="59" spans="2:30" x14ac:dyDescent="0.2">
      <c r="B59">
        <v>235</v>
      </c>
      <c r="C59" s="74">
        <v>5.1879477080190285E-2</v>
      </c>
      <c r="D59" s="79">
        <v>0.29920000000000002</v>
      </c>
      <c r="E59" s="2">
        <f t="shared" si="2"/>
        <v>0.2934287621629435</v>
      </c>
      <c r="F59" s="2">
        <f t="shared" si="3"/>
        <v>235</v>
      </c>
      <c r="G59" s="2">
        <f t="shared" si="4"/>
        <v>55225</v>
      </c>
      <c r="H59" s="2">
        <f t="shared" si="5"/>
        <v>5.1879477080190285E-2</v>
      </c>
      <c r="I59" s="2">
        <f t="shared" si="6"/>
        <v>2.691480142113989E-3</v>
      </c>
      <c r="J59" s="2">
        <f t="shared" si="7"/>
        <v>12.191677113844717</v>
      </c>
      <c r="L59">
        <v>200</v>
      </c>
      <c r="M59">
        <f>L59^2</f>
        <v>40000</v>
      </c>
      <c r="N59">
        <f>0.0518795</f>
        <v>5.1879500000000002E-2</v>
      </c>
      <c r="O59">
        <f>N59^2</f>
        <v>2.69148252025E-3</v>
      </c>
      <c r="P59">
        <f>L59*N59</f>
        <v>10.3759</v>
      </c>
    </row>
    <row r="60" spans="2:30" x14ac:dyDescent="0.2">
      <c r="B60">
        <v>240</v>
      </c>
      <c r="C60" s="74">
        <v>5.1879477080190285E-2</v>
      </c>
      <c r="D60" s="79">
        <v>0.27739999999999998</v>
      </c>
      <c r="E60" s="2">
        <f t="shared" si="2"/>
        <v>0.28279322426539111</v>
      </c>
      <c r="F60" s="2">
        <f t="shared" si="3"/>
        <v>240</v>
      </c>
      <c r="G60" s="2">
        <f t="shared" si="4"/>
        <v>57600</v>
      </c>
      <c r="H60" s="2">
        <f t="shared" si="5"/>
        <v>5.1879477080190285E-2</v>
      </c>
      <c r="I60" s="2">
        <f t="shared" si="6"/>
        <v>2.691480142113989E-3</v>
      </c>
      <c r="J60" s="2">
        <f t="shared" si="7"/>
        <v>12.451074499245669</v>
      </c>
      <c r="M60">
        <f>Q52+P52*L59+O52*M59+N52*N59+M52*O59+L52*P59</f>
        <v>0.43222642819728913</v>
      </c>
      <c r="N60">
        <v>200</v>
      </c>
      <c r="O60">
        <v>205</v>
      </c>
      <c r="P60" s="2">
        <v>210</v>
      </c>
      <c r="Q60" s="2">
        <v>215</v>
      </c>
      <c r="R60" s="2">
        <v>220</v>
      </c>
      <c r="S60" s="2">
        <v>225</v>
      </c>
      <c r="T60" s="2">
        <v>230</v>
      </c>
      <c r="U60" s="2">
        <v>235</v>
      </c>
      <c r="V60" s="2">
        <v>240</v>
      </c>
      <c r="W60" s="2">
        <v>245</v>
      </c>
      <c r="X60" s="2">
        <v>250</v>
      </c>
      <c r="Y60" s="2">
        <v>255</v>
      </c>
      <c r="Z60" s="2">
        <v>260</v>
      </c>
      <c r="AA60" s="2">
        <v>265</v>
      </c>
      <c r="AB60" s="2">
        <v>270</v>
      </c>
      <c r="AC60" s="2">
        <v>275</v>
      </c>
      <c r="AD60" s="2">
        <v>280</v>
      </c>
    </row>
    <row r="61" spans="2:30" x14ac:dyDescent="0.2">
      <c r="B61">
        <v>245</v>
      </c>
      <c r="C61" s="74">
        <v>5.1879477080190285E-2</v>
      </c>
      <c r="D61" s="79">
        <v>0.26169999999999999</v>
      </c>
      <c r="E61" s="2">
        <f t="shared" si="2"/>
        <v>0.27445586159314328</v>
      </c>
      <c r="F61" s="2">
        <f t="shared" si="3"/>
        <v>245</v>
      </c>
      <c r="G61" s="2">
        <f t="shared" si="4"/>
        <v>60025</v>
      </c>
      <c r="H61" s="2">
        <f t="shared" si="5"/>
        <v>5.1879477080190285E-2</v>
      </c>
      <c r="I61" s="2">
        <f t="shared" si="6"/>
        <v>2.691480142113989E-3</v>
      </c>
      <c r="J61" s="2">
        <f t="shared" si="7"/>
        <v>12.710471884646619</v>
      </c>
      <c r="M61">
        <v>0.1</v>
      </c>
      <c r="N61">
        <f t="dataTable" ref="N61:AD73" dt2D="1" dtr="1" r1="L59" r2="N59" ca="1"/>
        <v>0.42087182983312516</v>
      </c>
      <c r="O61">
        <v>0.39458633255050135</v>
      </c>
      <c r="P61">
        <v>0.37059901049318039</v>
      </c>
      <c r="Q61">
        <v>0.34890986366116478</v>
      </c>
      <c r="R61">
        <v>0.32951889205445284</v>
      </c>
      <c r="S61">
        <v>0.31242609567304375</v>
      </c>
      <c r="T61">
        <v>0.29763147451693972</v>
      </c>
      <c r="U61">
        <v>0.28513502858613948</v>
      </c>
      <c r="V61">
        <v>0.27493675788064248</v>
      </c>
      <c r="W61">
        <v>0.2670366624004501</v>
      </c>
      <c r="X61">
        <v>0.26143474214556195</v>
      </c>
      <c r="Y61">
        <v>0.25813099711597659</v>
      </c>
      <c r="Z61">
        <v>0.2571254273116963</v>
      </c>
      <c r="AA61">
        <v>0.25841803273271979</v>
      </c>
      <c r="AB61">
        <v>0.26200881337904697</v>
      </c>
      <c r="AC61">
        <v>0.26789776925067743</v>
      </c>
      <c r="AD61">
        <v>0.27608490034761302</v>
      </c>
    </row>
    <row r="62" spans="2:30" x14ac:dyDescent="0.2">
      <c r="B62">
        <v>250</v>
      </c>
      <c r="C62" s="74">
        <v>5.1879477080190285E-2</v>
      </c>
      <c r="D62" s="79">
        <v>0.24610000000000001</v>
      </c>
      <c r="E62" s="2">
        <f t="shared" si="2"/>
        <v>0.26841667414619969</v>
      </c>
      <c r="F62" s="2">
        <f t="shared" si="3"/>
        <v>250</v>
      </c>
      <c r="G62" s="2">
        <f t="shared" si="4"/>
        <v>62500</v>
      </c>
      <c r="H62" s="2">
        <f t="shared" si="5"/>
        <v>5.1879477080190285E-2</v>
      </c>
      <c r="I62" s="2">
        <f t="shared" si="6"/>
        <v>2.691480142113989E-3</v>
      </c>
      <c r="J62" s="2">
        <f t="shared" si="7"/>
        <v>12.969869270047571</v>
      </c>
      <c r="M62">
        <v>0.2</v>
      </c>
      <c r="N62">
        <v>0.39927441945230696</v>
      </c>
      <c r="O62">
        <v>0.37389761385780995</v>
      </c>
      <c r="P62">
        <v>0.35081898348861573</v>
      </c>
      <c r="Q62">
        <v>0.33003852834472686</v>
      </c>
      <c r="R62">
        <v>0.31155624842614166</v>
      </c>
      <c r="S62">
        <v>0.29537214373285936</v>
      </c>
      <c r="T62">
        <v>0.28148621426488207</v>
      </c>
      <c r="U62">
        <v>0.26989846002220858</v>
      </c>
      <c r="V62">
        <v>0.26060888100483837</v>
      </c>
      <c r="W62">
        <v>0.25361747721277272</v>
      </c>
      <c r="X62">
        <v>0.24892424864601131</v>
      </c>
      <c r="Y62">
        <v>0.24652919530455275</v>
      </c>
      <c r="Z62">
        <v>0.24643231718839922</v>
      </c>
      <c r="AA62">
        <v>0.24863361429754943</v>
      </c>
      <c r="AB62">
        <v>0.2531330866320034</v>
      </c>
      <c r="AC62">
        <v>0.2599307341917606</v>
      </c>
      <c r="AD62">
        <v>0.26902655697682293</v>
      </c>
    </row>
    <row r="63" spans="2:30" x14ac:dyDescent="0.2">
      <c r="B63">
        <v>255</v>
      </c>
      <c r="C63" s="74">
        <v>5.1879477080190285E-2</v>
      </c>
      <c r="D63" s="79">
        <v>0.24</v>
      </c>
      <c r="E63" s="2">
        <f t="shared" si="2"/>
        <v>0.26467566192455888</v>
      </c>
      <c r="F63" s="2">
        <f t="shared" si="3"/>
        <v>255</v>
      </c>
      <c r="G63" s="2">
        <f t="shared" si="4"/>
        <v>65025</v>
      </c>
      <c r="H63" s="2">
        <f t="shared" si="5"/>
        <v>5.1879477080190285E-2</v>
      </c>
      <c r="I63" s="2">
        <f t="shared" si="6"/>
        <v>2.691480142113989E-3</v>
      </c>
      <c r="J63" s="2">
        <f t="shared" si="7"/>
        <v>13.229266655448523</v>
      </c>
      <c r="M63" s="2">
        <v>0.3</v>
      </c>
      <c r="N63">
        <v>0.3803758477086655</v>
      </c>
      <c r="O63">
        <v>0.35590773380229523</v>
      </c>
      <c r="P63">
        <v>0.33373779512122781</v>
      </c>
      <c r="Q63">
        <v>0.31386603166546567</v>
      </c>
      <c r="R63">
        <v>0.29629244343500727</v>
      </c>
      <c r="S63">
        <v>0.28101703042985171</v>
      </c>
      <c r="T63">
        <v>0.26803979265000122</v>
      </c>
      <c r="U63">
        <v>0.25736073009545446</v>
      </c>
      <c r="V63">
        <v>0.24897984276621099</v>
      </c>
      <c r="W63">
        <v>0.24289713066227214</v>
      </c>
      <c r="X63">
        <v>0.23911259378363747</v>
      </c>
      <c r="Y63">
        <v>0.23762623213030565</v>
      </c>
      <c r="Z63">
        <v>0.23843804570227889</v>
      </c>
      <c r="AA63">
        <v>0.24154803449955586</v>
      </c>
      <c r="AB63">
        <v>0.24695619852213657</v>
      </c>
      <c r="AC63">
        <v>0.25466253777002057</v>
      </c>
      <c r="AD63">
        <v>0.26466705224320963</v>
      </c>
    </row>
    <row r="64" spans="2:30" x14ac:dyDescent="0.2">
      <c r="B64">
        <v>260</v>
      </c>
      <c r="C64" s="74">
        <v>5.1879477080190285E-2</v>
      </c>
      <c r="D64" s="79">
        <v>0.21199999999999999</v>
      </c>
      <c r="E64" s="2">
        <f t="shared" si="2"/>
        <v>0.26323282492822314</v>
      </c>
      <c r="F64" s="2">
        <f t="shared" si="3"/>
        <v>260</v>
      </c>
      <c r="G64" s="2">
        <f t="shared" si="4"/>
        <v>67600</v>
      </c>
      <c r="H64" s="2">
        <f t="shared" si="5"/>
        <v>5.1879477080190285E-2</v>
      </c>
      <c r="I64" s="2">
        <f t="shared" si="6"/>
        <v>2.691480142113989E-3</v>
      </c>
      <c r="J64" s="2">
        <f t="shared" si="7"/>
        <v>13.488664040849475</v>
      </c>
      <c r="M64" s="2">
        <v>0.4</v>
      </c>
      <c r="N64">
        <v>0.36417611460220078</v>
      </c>
      <c r="O64">
        <v>0.34061669238395731</v>
      </c>
      <c r="P64">
        <v>0.31935544539101662</v>
      </c>
      <c r="Q64">
        <v>0.30039237362338123</v>
      </c>
      <c r="R64">
        <v>0.28372747708104962</v>
      </c>
      <c r="S64">
        <v>0.2693607557640208</v>
      </c>
      <c r="T64">
        <v>0.25729220967229705</v>
      </c>
      <c r="U64">
        <v>0.24752183880587705</v>
      </c>
      <c r="V64">
        <v>0.24004964316476035</v>
      </c>
      <c r="W64">
        <v>0.23487562274894824</v>
      </c>
      <c r="X64">
        <v>0.23199977755844034</v>
      </c>
      <c r="Y64">
        <v>0.23142210759323525</v>
      </c>
      <c r="Z64">
        <v>0.23314261285333526</v>
      </c>
      <c r="AA64">
        <v>0.23716129333873898</v>
      </c>
      <c r="AB64">
        <v>0.24347814904944645</v>
      </c>
      <c r="AC64">
        <v>0.25209317998545722</v>
      </c>
      <c r="AD64">
        <v>0.26300638614677302</v>
      </c>
    </row>
    <row r="65" spans="2:30" x14ac:dyDescent="0.2">
      <c r="B65">
        <v>265</v>
      </c>
      <c r="C65" s="74">
        <v>5.1879477080190285E-2</v>
      </c>
      <c r="D65" s="79">
        <v>0.24529999999999999</v>
      </c>
      <c r="E65" s="2">
        <f t="shared" si="2"/>
        <v>0.26408816315719119</v>
      </c>
      <c r="F65" s="2">
        <f t="shared" si="3"/>
        <v>265</v>
      </c>
      <c r="G65" s="2">
        <f t="shared" si="4"/>
        <v>70225</v>
      </c>
      <c r="H65" s="2">
        <f t="shared" si="5"/>
        <v>5.1879477080190285E-2</v>
      </c>
      <c r="I65" s="2">
        <f t="shared" si="6"/>
        <v>2.691480142113989E-3</v>
      </c>
      <c r="J65" s="2">
        <f t="shared" si="7"/>
        <v>13.748061426250425</v>
      </c>
      <c r="M65" s="2">
        <v>0.5</v>
      </c>
      <c r="N65">
        <v>0.35067522013291291</v>
      </c>
      <c r="O65">
        <v>0.32802448960279618</v>
      </c>
      <c r="P65">
        <v>0.30767193429798223</v>
      </c>
      <c r="Q65">
        <v>0.28961755421847357</v>
      </c>
      <c r="R65">
        <v>0.2738613493642687</v>
      </c>
      <c r="S65">
        <v>0.26040331973536662</v>
      </c>
      <c r="T65">
        <v>0.24924346533176969</v>
      </c>
      <c r="U65">
        <v>0.24038178615347644</v>
      </c>
      <c r="V65">
        <v>0.23381828220048648</v>
      </c>
      <c r="W65">
        <v>0.22955295347280114</v>
      </c>
      <c r="X65">
        <v>0.22758579997041997</v>
      </c>
      <c r="Y65">
        <v>0.22791682169334165</v>
      </c>
      <c r="Z65">
        <v>0.23054601864156843</v>
      </c>
      <c r="AA65">
        <v>0.23547339081509891</v>
      </c>
      <c r="AB65">
        <v>0.24269893821393312</v>
      </c>
      <c r="AC65">
        <v>0.2522226608380706</v>
      </c>
      <c r="AD65">
        <v>0.2640445586875132</v>
      </c>
    </row>
    <row r="66" spans="2:30" x14ac:dyDescent="0.2">
      <c r="B66">
        <v>270</v>
      </c>
      <c r="C66" s="74">
        <v>5.1879477080190285E-2</v>
      </c>
      <c r="D66" s="79">
        <v>0.29420000000000002</v>
      </c>
      <c r="E66" s="2">
        <f t="shared" si="2"/>
        <v>0.26724167661146292</v>
      </c>
      <c r="F66" s="2">
        <f t="shared" si="3"/>
        <v>270</v>
      </c>
      <c r="G66" s="2">
        <f t="shared" si="4"/>
        <v>72900</v>
      </c>
      <c r="H66" s="2">
        <f t="shared" si="5"/>
        <v>5.1879477080190285E-2</v>
      </c>
      <c r="I66" s="2">
        <f t="shared" si="6"/>
        <v>2.691480142113989E-3</v>
      </c>
      <c r="J66" s="2">
        <f t="shared" si="7"/>
        <v>14.007458811651377</v>
      </c>
      <c r="M66" s="2">
        <v>0.6</v>
      </c>
      <c r="N66">
        <v>0.33987316430080172</v>
      </c>
      <c r="O66">
        <v>0.31813112545881173</v>
      </c>
      <c r="P66">
        <v>0.29868726184212457</v>
      </c>
      <c r="Q66">
        <v>0.28154157345074271</v>
      </c>
      <c r="R66">
        <v>0.26669406028466458</v>
      </c>
      <c r="S66">
        <v>0.2541447223438893</v>
      </c>
      <c r="T66">
        <v>0.24389355962841905</v>
      </c>
      <c r="U66">
        <v>0.23594057213825256</v>
      </c>
      <c r="V66">
        <v>0.23028575987338937</v>
      </c>
      <c r="W66">
        <v>0.22692912283383079</v>
      </c>
      <c r="X66">
        <v>0.2258706610195764</v>
      </c>
      <c r="Y66">
        <v>0.22711037443062485</v>
      </c>
      <c r="Z66">
        <v>0.23064826306697836</v>
      </c>
      <c r="AA66">
        <v>0.23648432692863561</v>
      </c>
      <c r="AB66">
        <v>0.24461856601559659</v>
      </c>
      <c r="AC66">
        <v>0.25505098032786078</v>
      </c>
      <c r="AD66">
        <v>0.26778156986543011</v>
      </c>
    </row>
    <row r="67" spans="2:30" x14ac:dyDescent="0.2">
      <c r="B67">
        <v>275</v>
      </c>
      <c r="C67" s="74">
        <v>5.1879477080190285E-2</v>
      </c>
      <c r="D67" s="79">
        <v>0.33329999999999999</v>
      </c>
      <c r="E67" s="2">
        <f t="shared" si="2"/>
        <v>0.27269336529103799</v>
      </c>
      <c r="F67" s="2">
        <f t="shared" si="3"/>
        <v>275</v>
      </c>
      <c r="G67" s="2">
        <f t="shared" si="4"/>
        <v>75625</v>
      </c>
      <c r="H67" s="2">
        <f t="shared" si="5"/>
        <v>5.1879477080190285E-2</v>
      </c>
      <c r="I67" s="2">
        <f t="shared" si="6"/>
        <v>2.691480142113989E-3</v>
      </c>
      <c r="J67" s="2">
        <f t="shared" si="7"/>
        <v>14.266856197052329</v>
      </c>
      <c r="M67" s="2">
        <v>0.7</v>
      </c>
      <c r="N67">
        <v>0.33176994710586732</v>
      </c>
      <c r="O67">
        <v>0.31093659995200407</v>
      </c>
      <c r="P67">
        <v>0.29240142802344365</v>
      </c>
      <c r="Q67">
        <v>0.27616443132018853</v>
      </c>
      <c r="R67">
        <v>0.26222560984223714</v>
      </c>
      <c r="S67">
        <v>0.25058496358958865</v>
      </c>
      <c r="T67">
        <v>0.24124249256224517</v>
      </c>
      <c r="U67">
        <v>0.23419819676020542</v>
      </c>
      <c r="V67">
        <v>0.22945207618346897</v>
      </c>
      <c r="W67">
        <v>0.22700413083203719</v>
      </c>
      <c r="X67">
        <v>0.22685436070590953</v>
      </c>
      <c r="Y67">
        <v>0.22900276580508472</v>
      </c>
      <c r="Z67">
        <v>0.23344934612956497</v>
      </c>
      <c r="AA67">
        <v>0.24019410167934896</v>
      </c>
      <c r="AB67">
        <v>0.24923703245443674</v>
      </c>
      <c r="AC67">
        <v>0.26057813845482775</v>
      </c>
      <c r="AD67">
        <v>0.27421741968052382</v>
      </c>
    </row>
    <row r="68" spans="2:30" x14ac:dyDescent="0.2">
      <c r="B68">
        <v>280</v>
      </c>
      <c r="C68" s="74">
        <v>5.1879477080190285E-2</v>
      </c>
      <c r="D68" s="79">
        <v>0.54220000000000002</v>
      </c>
      <c r="E68" s="2">
        <f t="shared" si="2"/>
        <v>0.28044322919591808</v>
      </c>
      <c r="F68" s="2">
        <f t="shared" si="3"/>
        <v>280</v>
      </c>
      <c r="G68" s="2">
        <f t="shared" si="4"/>
        <v>78400</v>
      </c>
      <c r="H68" s="2">
        <f t="shared" si="5"/>
        <v>5.1879477080190285E-2</v>
      </c>
      <c r="I68" s="2">
        <f t="shared" si="6"/>
        <v>2.691480142113989E-3</v>
      </c>
      <c r="J68" s="2">
        <f t="shared" si="7"/>
        <v>14.526253582453279</v>
      </c>
      <c r="M68" s="2">
        <v>0.8</v>
      </c>
      <c r="N68">
        <v>0.32636556854810961</v>
      </c>
      <c r="O68">
        <v>0.30644091308237315</v>
      </c>
      <c r="P68">
        <v>0.28881443284193947</v>
      </c>
      <c r="Q68">
        <v>0.27348612782681114</v>
      </c>
      <c r="R68">
        <v>0.26045599803698649</v>
      </c>
      <c r="S68">
        <v>0.24972404347246474</v>
      </c>
      <c r="T68">
        <v>0.241290264133248</v>
      </c>
      <c r="U68">
        <v>0.23515466001933505</v>
      </c>
      <c r="V68">
        <v>0.23131723113072539</v>
      </c>
      <c r="W68">
        <v>0.22977797746742029</v>
      </c>
      <c r="X68">
        <v>0.23053689902941943</v>
      </c>
      <c r="Y68">
        <v>0.23359399581672136</v>
      </c>
      <c r="Z68">
        <v>0.2389492678293284</v>
      </c>
      <c r="AA68">
        <v>0.24660271506723913</v>
      </c>
      <c r="AB68">
        <v>0.25655433753045365</v>
      </c>
      <c r="AC68">
        <v>0.2688041352189714</v>
      </c>
      <c r="AD68">
        <v>0.28335210813279427</v>
      </c>
    </row>
    <row r="69" spans="2:30" x14ac:dyDescent="0.2">
      <c r="B69">
        <v>200</v>
      </c>
      <c r="C69">
        <v>7.1719520948814564E-2</v>
      </c>
      <c r="D69" s="81">
        <v>0.47667298465967178</v>
      </c>
      <c r="E69" s="2">
        <f t="shared" si="2"/>
        <v>0.42746922779899416</v>
      </c>
      <c r="F69" s="2">
        <f t="shared" si="3"/>
        <v>200</v>
      </c>
      <c r="G69" s="2">
        <f t="shared" si="4"/>
        <v>40000</v>
      </c>
      <c r="H69" s="2">
        <f t="shared" si="5"/>
        <v>7.1719520948814564E-2</v>
      </c>
      <c r="I69" s="2">
        <f t="shared" si="6"/>
        <v>5.1436896851274512E-3</v>
      </c>
      <c r="J69" s="2">
        <f t="shared" si="7"/>
        <v>14.343904189762913</v>
      </c>
      <c r="M69" s="2">
        <v>0.9</v>
      </c>
      <c r="N69">
        <v>0.32366002862752868</v>
      </c>
      <c r="O69">
        <v>0.30464406484991896</v>
      </c>
      <c r="P69">
        <v>0.28792627629761208</v>
      </c>
      <c r="Q69">
        <v>0.27350666297061044</v>
      </c>
      <c r="R69">
        <v>0.26138522486891258</v>
      </c>
      <c r="S69">
        <v>0.25156196199251757</v>
      </c>
      <c r="T69">
        <v>0.24403687434142762</v>
      </c>
      <c r="U69">
        <v>0.23880996191564141</v>
      </c>
      <c r="V69">
        <v>0.23588122471515849</v>
      </c>
      <c r="W69">
        <v>0.23525066273998019</v>
      </c>
      <c r="X69">
        <v>0.23691827599010601</v>
      </c>
      <c r="Y69">
        <v>0.24088406446553473</v>
      </c>
      <c r="Z69">
        <v>0.24714802816626852</v>
      </c>
      <c r="AA69">
        <v>0.25571016709230604</v>
      </c>
      <c r="AB69">
        <v>0.26657048124364729</v>
      </c>
      <c r="AC69">
        <v>0.27972897062029184</v>
      </c>
      <c r="AD69">
        <v>0.29518563522224139</v>
      </c>
    </row>
    <row r="70" spans="2:30" x14ac:dyDescent="0.2">
      <c r="B70">
        <v>205</v>
      </c>
      <c r="C70" s="2">
        <v>7.1719520948814564E-2</v>
      </c>
      <c r="D70" s="81">
        <v>0.44334057718515396</v>
      </c>
      <c r="E70" s="2">
        <f t="shared" si="2"/>
        <v>0.40092674815386986</v>
      </c>
      <c r="F70" s="2">
        <f t="shared" si="3"/>
        <v>205</v>
      </c>
      <c r="G70" s="2">
        <f t="shared" si="4"/>
        <v>42025</v>
      </c>
      <c r="H70" s="2">
        <f t="shared" si="5"/>
        <v>7.1719520948814564E-2</v>
      </c>
      <c r="I70" s="2">
        <f t="shared" si="6"/>
        <v>5.1436896851274512E-3</v>
      </c>
      <c r="J70" s="2">
        <f t="shared" si="7"/>
        <v>14.702501794506986</v>
      </c>
      <c r="M70" s="2">
        <v>1</v>
      </c>
      <c r="N70">
        <v>0.32365332734412455</v>
      </c>
      <c r="O70">
        <v>0.30554605525464162</v>
      </c>
      <c r="P70">
        <v>0.28973695839046143</v>
      </c>
      <c r="Q70">
        <v>0.27622603675158663</v>
      </c>
      <c r="R70">
        <v>0.26501329033801546</v>
      </c>
      <c r="S70">
        <v>0.25609871914974724</v>
      </c>
      <c r="T70">
        <v>0.24948232318678407</v>
      </c>
      <c r="U70">
        <v>0.24516410244912459</v>
      </c>
      <c r="V70">
        <v>0.24314405693676841</v>
      </c>
      <c r="W70">
        <v>0.24342218664971685</v>
      </c>
      <c r="X70">
        <v>0.24599849158796946</v>
      </c>
      <c r="Y70">
        <v>0.2508729717515249</v>
      </c>
      <c r="Z70">
        <v>0.25804562714038548</v>
      </c>
      <c r="AA70">
        <v>0.2675164577545498</v>
      </c>
      <c r="AB70">
        <v>0.27928546359401774</v>
      </c>
      <c r="AC70">
        <v>0.29335264465878907</v>
      </c>
      <c r="AD70">
        <v>0.30971800094886548</v>
      </c>
    </row>
    <row r="71" spans="2:30" x14ac:dyDescent="0.2">
      <c r="B71">
        <v>210</v>
      </c>
      <c r="C71" s="2">
        <v>7.1719520948814564E-2</v>
      </c>
      <c r="D71" s="81">
        <v>0.4142523929476738</v>
      </c>
      <c r="E71" s="2">
        <f t="shared" si="2"/>
        <v>0.37668244373404836</v>
      </c>
      <c r="F71" s="2">
        <f t="shared" si="3"/>
        <v>210</v>
      </c>
      <c r="G71" s="2">
        <f t="shared" si="4"/>
        <v>44100</v>
      </c>
      <c r="H71" s="2">
        <f t="shared" si="5"/>
        <v>7.1719520948814564E-2</v>
      </c>
      <c r="I71" s="2">
        <f t="shared" si="6"/>
        <v>5.1436896851274512E-3</v>
      </c>
      <c r="J71" s="2">
        <f t="shared" si="7"/>
        <v>15.061099399251058</v>
      </c>
      <c r="M71" s="2">
        <v>1.1000000000000001</v>
      </c>
      <c r="N71">
        <v>0.32634546469789716</v>
      </c>
      <c r="O71">
        <v>0.30914688429654091</v>
      </c>
      <c r="P71">
        <v>0.29424647912048751</v>
      </c>
      <c r="Q71">
        <v>0.28164424916973951</v>
      </c>
      <c r="R71">
        <v>0.27134019444429514</v>
      </c>
      <c r="S71">
        <v>0.2633343149441536</v>
      </c>
      <c r="T71">
        <v>0.25762661066931714</v>
      </c>
      <c r="U71">
        <v>0.2542170816197844</v>
      </c>
      <c r="V71">
        <v>0.25310572779555496</v>
      </c>
      <c r="W71">
        <v>0.25429254919663025</v>
      </c>
      <c r="X71">
        <v>0.2577775458230096</v>
      </c>
      <c r="Y71">
        <v>0.2635607176746918</v>
      </c>
      <c r="Z71">
        <v>0.27164206475167907</v>
      </c>
      <c r="AA71">
        <v>0.28202158705397018</v>
      </c>
      <c r="AB71">
        <v>0.29469928458156491</v>
      </c>
      <c r="AC71">
        <v>0.30967515733446294</v>
      </c>
      <c r="AD71">
        <v>0.32694920531266602</v>
      </c>
    </row>
    <row r="72" spans="2:30" x14ac:dyDescent="0.2">
      <c r="B72">
        <v>215</v>
      </c>
      <c r="C72" s="2">
        <v>7.1719520948814564E-2</v>
      </c>
      <c r="D72" s="81">
        <v>0.38854364305734634</v>
      </c>
      <c r="E72" s="2">
        <f t="shared" si="2"/>
        <v>0.35473631453953214</v>
      </c>
      <c r="F72" s="2">
        <f t="shared" si="3"/>
        <v>215</v>
      </c>
      <c r="G72" s="2">
        <f t="shared" si="4"/>
        <v>46225</v>
      </c>
      <c r="H72" s="2">
        <f t="shared" si="5"/>
        <v>7.1719520948814564E-2</v>
      </c>
      <c r="I72" s="2">
        <f t="shared" si="6"/>
        <v>5.1436896851274512E-3</v>
      </c>
      <c r="J72" s="2">
        <f t="shared" si="7"/>
        <v>15.419697003995131</v>
      </c>
      <c r="M72" s="2">
        <v>1.2</v>
      </c>
      <c r="N72">
        <v>0.33173644068884656</v>
      </c>
      <c r="O72">
        <v>0.31544655197561711</v>
      </c>
      <c r="P72">
        <v>0.30145483848769045</v>
      </c>
      <c r="Q72">
        <v>0.28976130022506913</v>
      </c>
      <c r="R72">
        <v>0.28036593718775155</v>
      </c>
      <c r="S72">
        <v>0.27326874937573681</v>
      </c>
      <c r="T72">
        <v>0.26846973678902708</v>
      </c>
      <c r="U72">
        <v>0.26596889942762114</v>
      </c>
      <c r="V72">
        <v>0.26576623729151849</v>
      </c>
      <c r="W72">
        <v>0.26786175038072046</v>
      </c>
      <c r="X72">
        <v>0.27225543869522661</v>
      </c>
      <c r="Y72">
        <v>0.27894730223503561</v>
      </c>
      <c r="Z72">
        <v>0.28793734100014967</v>
      </c>
      <c r="AA72">
        <v>0.29922555499056747</v>
      </c>
      <c r="AB72">
        <v>0.31281194420628899</v>
      </c>
      <c r="AC72">
        <v>0.3286965086473137</v>
      </c>
      <c r="AD72">
        <v>0.34687924831364358</v>
      </c>
    </row>
    <row r="73" spans="2:30" x14ac:dyDescent="0.2">
      <c r="B73">
        <v>220</v>
      </c>
      <c r="C73" s="2">
        <v>7.1719520948814564E-2</v>
      </c>
      <c r="D73" s="81">
        <v>0.35885628312826157</v>
      </c>
      <c r="E73" s="2">
        <f t="shared" si="2"/>
        <v>0.33508836057031965</v>
      </c>
      <c r="F73" s="2">
        <f t="shared" si="3"/>
        <v>220</v>
      </c>
      <c r="G73" s="2">
        <f t="shared" si="4"/>
        <v>48400</v>
      </c>
      <c r="H73" s="2">
        <f t="shared" si="5"/>
        <v>7.1719520948814564E-2</v>
      </c>
      <c r="I73" s="2">
        <f t="shared" si="6"/>
        <v>5.1436896851274512E-3</v>
      </c>
      <c r="J73" s="2">
        <f t="shared" si="7"/>
        <v>15.778294608739204</v>
      </c>
      <c r="M73" s="2">
        <v>1.3</v>
      </c>
      <c r="N73">
        <v>0.33982625531697264</v>
      </c>
      <c r="O73">
        <v>0.32444505829186993</v>
      </c>
      <c r="P73">
        <v>0.31136203649207006</v>
      </c>
      <c r="Q73">
        <v>0.30057718991757548</v>
      </c>
      <c r="R73">
        <v>0.29209051856838458</v>
      </c>
      <c r="S73">
        <v>0.28590202244449664</v>
      </c>
      <c r="T73">
        <v>0.28201170154591376</v>
      </c>
      <c r="U73">
        <v>0.28041955587263451</v>
      </c>
      <c r="V73">
        <v>0.28112558542465865</v>
      </c>
      <c r="W73">
        <v>0.28412979020198731</v>
      </c>
      <c r="X73">
        <v>0.28943217020462025</v>
      </c>
      <c r="Y73">
        <v>0.29703272543255593</v>
      </c>
      <c r="Z73">
        <v>0.30693145588579679</v>
      </c>
      <c r="AA73">
        <v>0.31912836156434138</v>
      </c>
      <c r="AB73">
        <v>0.33362344246818959</v>
      </c>
      <c r="AC73">
        <v>0.3504166985973412</v>
      </c>
      <c r="AD73">
        <v>0.36950812995179777</v>
      </c>
    </row>
    <row r="74" spans="2:30" x14ac:dyDescent="0.2">
      <c r="B74">
        <v>225</v>
      </c>
      <c r="C74" s="2">
        <v>7.1719520948814564E-2</v>
      </c>
      <c r="D74" s="81">
        <v>0.33194463700056076</v>
      </c>
      <c r="E74" s="2">
        <f t="shared" si="2"/>
        <v>0.31773858182641007</v>
      </c>
      <c r="F74" s="2">
        <f t="shared" si="3"/>
        <v>225</v>
      </c>
      <c r="G74" s="2">
        <f t="shared" si="4"/>
        <v>50625</v>
      </c>
      <c r="H74" s="2">
        <f t="shared" si="5"/>
        <v>7.1719520948814564E-2</v>
      </c>
      <c r="I74" s="2">
        <f t="shared" si="6"/>
        <v>5.1436896851274512E-3</v>
      </c>
      <c r="J74" s="2">
        <f t="shared" si="7"/>
        <v>16.136892213483275</v>
      </c>
      <c r="M74" s="2"/>
    </row>
    <row r="75" spans="2:30" x14ac:dyDescent="0.2">
      <c r="B75">
        <v>230</v>
      </c>
      <c r="C75" s="2">
        <v>7.1719520948814564E-2</v>
      </c>
      <c r="D75" s="81">
        <v>0.30261825770139694</v>
      </c>
      <c r="E75" s="2">
        <f t="shared" si="2"/>
        <v>0.3026869783078055</v>
      </c>
      <c r="F75" s="2">
        <f t="shared" si="3"/>
        <v>230</v>
      </c>
      <c r="G75" s="2">
        <f t="shared" si="4"/>
        <v>52900</v>
      </c>
      <c r="H75" s="2">
        <f t="shared" si="5"/>
        <v>7.1719520948814564E-2</v>
      </c>
      <c r="I75" s="2">
        <f t="shared" si="6"/>
        <v>5.1436896851274512E-3</v>
      </c>
      <c r="J75" s="2">
        <f t="shared" si="7"/>
        <v>16.495489818227348</v>
      </c>
      <c r="M75" s="2"/>
      <c r="N75" s="2">
        <f t="shared" ref="N75:AD75" si="8">N60</f>
        <v>200</v>
      </c>
      <c r="O75" s="2">
        <f t="shared" si="8"/>
        <v>205</v>
      </c>
      <c r="P75" s="2">
        <f t="shared" si="8"/>
        <v>210</v>
      </c>
      <c r="Q75" s="2">
        <f t="shared" si="8"/>
        <v>215</v>
      </c>
      <c r="R75" s="2">
        <f t="shared" si="8"/>
        <v>220</v>
      </c>
      <c r="S75" s="2">
        <f t="shared" si="8"/>
        <v>225</v>
      </c>
      <c r="T75" s="2">
        <f t="shared" si="8"/>
        <v>230</v>
      </c>
      <c r="U75" s="2">
        <f t="shared" si="8"/>
        <v>235</v>
      </c>
      <c r="V75" s="2">
        <f t="shared" si="8"/>
        <v>240</v>
      </c>
      <c r="W75" s="2">
        <f t="shared" si="8"/>
        <v>245</v>
      </c>
      <c r="X75" s="2">
        <f t="shared" si="8"/>
        <v>250</v>
      </c>
      <c r="Y75" s="2">
        <f t="shared" si="8"/>
        <v>255</v>
      </c>
      <c r="Z75" s="2">
        <f t="shared" si="8"/>
        <v>260</v>
      </c>
      <c r="AA75" s="2">
        <f t="shared" si="8"/>
        <v>265</v>
      </c>
      <c r="AB75" s="2">
        <f t="shared" si="8"/>
        <v>270</v>
      </c>
      <c r="AC75" s="2">
        <f t="shared" si="8"/>
        <v>275</v>
      </c>
      <c r="AD75" s="2">
        <f t="shared" si="8"/>
        <v>280</v>
      </c>
    </row>
    <row r="76" spans="2:30" x14ac:dyDescent="0.2">
      <c r="B76">
        <v>235</v>
      </c>
      <c r="C76" s="2">
        <v>7.1719520948814564E-2</v>
      </c>
      <c r="D76" s="81">
        <v>0.28219934552907944</v>
      </c>
      <c r="E76" s="2">
        <f t="shared" si="2"/>
        <v>0.28993355001450466</v>
      </c>
      <c r="F76" s="2">
        <f t="shared" si="3"/>
        <v>235</v>
      </c>
      <c r="G76" s="2">
        <f t="shared" si="4"/>
        <v>55225</v>
      </c>
      <c r="H76" s="2">
        <f t="shared" si="5"/>
        <v>7.1719520948814564E-2</v>
      </c>
      <c r="I76" s="2">
        <f t="shared" si="6"/>
        <v>5.1436896851274512E-3</v>
      </c>
      <c r="J76" s="2">
        <f t="shared" si="7"/>
        <v>16.854087422971421</v>
      </c>
      <c r="M76" s="2">
        <f t="shared" ref="M76:AD76" si="9">M61</f>
        <v>0.1</v>
      </c>
      <c r="N76" s="2">
        <f t="shared" si="9"/>
        <v>0.42087182983312516</v>
      </c>
      <c r="O76" s="2">
        <f t="shared" si="9"/>
        <v>0.39458633255050135</v>
      </c>
      <c r="P76" s="2">
        <f t="shared" si="9"/>
        <v>0.37059901049318039</v>
      </c>
      <c r="Q76" s="2">
        <f t="shared" si="9"/>
        <v>0.34890986366116478</v>
      </c>
      <c r="R76" s="2">
        <f t="shared" si="9"/>
        <v>0.32951889205445284</v>
      </c>
      <c r="S76" s="2">
        <f t="shared" si="9"/>
        <v>0.31242609567304375</v>
      </c>
      <c r="T76" s="2">
        <f t="shared" si="9"/>
        <v>0.29763147451693972</v>
      </c>
      <c r="U76" s="2">
        <f t="shared" si="9"/>
        <v>0.28513502858613948</v>
      </c>
      <c r="V76" s="2">
        <f t="shared" si="9"/>
        <v>0.27493675788064248</v>
      </c>
      <c r="W76" s="2">
        <f t="shared" si="9"/>
        <v>0.2670366624004501</v>
      </c>
      <c r="X76" s="2">
        <f t="shared" si="9"/>
        <v>0.26143474214556195</v>
      </c>
      <c r="Y76" s="2">
        <f t="shared" si="9"/>
        <v>0.25813099711597659</v>
      </c>
      <c r="Z76" s="2">
        <f t="shared" si="9"/>
        <v>0.2571254273116963</v>
      </c>
      <c r="AA76" s="2">
        <f t="shared" si="9"/>
        <v>0.25841803273271979</v>
      </c>
      <c r="AB76" s="2">
        <f t="shared" si="9"/>
        <v>0.26200881337904697</v>
      </c>
      <c r="AC76" s="2">
        <f t="shared" si="9"/>
        <v>0.26789776925067743</v>
      </c>
      <c r="AD76" s="2">
        <f t="shared" si="9"/>
        <v>0.27608490034761302</v>
      </c>
    </row>
    <row r="77" spans="2:30" x14ac:dyDescent="0.2">
      <c r="B77">
        <v>240</v>
      </c>
      <c r="C77" s="2">
        <v>7.1719520948814564E-2</v>
      </c>
      <c r="D77" s="81">
        <v>0.26067245751619339</v>
      </c>
      <c r="E77" s="2">
        <f t="shared" si="2"/>
        <v>0.27947829694650711</v>
      </c>
      <c r="F77" s="2">
        <f t="shared" si="3"/>
        <v>240</v>
      </c>
      <c r="G77" s="2">
        <f t="shared" si="4"/>
        <v>57600</v>
      </c>
      <c r="H77" s="2">
        <f t="shared" si="5"/>
        <v>7.1719520948814564E-2</v>
      </c>
      <c r="I77" s="2">
        <f t="shared" si="6"/>
        <v>5.1436896851274512E-3</v>
      </c>
      <c r="J77" s="2">
        <f t="shared" si="7"/>
        <v>17.212685027715494</v>
      </c>
      <c r="M77" s="2">
        <f t="shared" ref="M77:AD77" si="10">M62</f>
        <v>0.2</v>
      </c>
      <c r="N77" s="2">
        <f t="shared" si="10"/>
        <v>0.39927441945230696</v>
      </c>
      <c r="O77" s="2">
        <f t="shared" si="10"/>
        <v>0.37389761385780995</v>
      </c>
      <c r="P77" s="2">
        <f t="shared" si="10"/>
        <v>0.35081898348861573</v>
      </c>
      <c r="Q77" s="2">
        <f t="shared" si="10"/>
        <v>0.33003852834472686</v>
      </c>
      <c r="R77" s="2">
        <f t="shared" si="10"/>
        <v>0.31155624842614166</v>
      </c>
      <c r="S77" s="2">
        <f t="shared" si="10"/>
        <v>0.29537214373285936</v>
      </c>
      <c r="T77" s="2">
        <f t="shared" si="10"/>
        <v>0.28148621426488207</v>
      </c>
      <c r="U77" s="2">
        <f t="shared" si="10"/>
        <v>0.26989846002220858</v>
      </c>
      <c r="V77" s="2">
        <f t="shared" si="10"/>
        <v>0.26060888100483837</v>
      </c>
      <c r="W77" s="2">
        <f t="shared" si="10"/>
        <v>0.25361747721277272</v>
      </c>
      <c r="X77" s="2">
        <f t="shared" si="10"/>
        <v>0.24892424864601131</v>
      </c>
      <c r="Y77" s="2">
        <f t="shared" si="10"/>
        <v>0.24652919530455275</v>
      </c>
      <c r="Z77" s="2">
        <f t="shared" si="10"/>
        <v>0.24643231718839922</v>
      </c>
      <c r="AA77" s="2">
        <f t="shared" si="10"/>
        <v>0.24863361429754943</v>
      </c>
      <c r="AB77" s="2">
        <f t="shared" si="10"/>
        <v>0.2531330866320034</v>
      </c>
      <c r="AC77" s="2">
        <f t="shared" si="10"/>
        <v>0.2599307341917606</v>
      </c>
      <c r="AD77" s="2">
        <f t="shared" si="10"/>
        <v>0.26902655697682293</v>
      </c>
    </row>
    <row r="78" spans="2:30" x14ac:dyDescent="0.2">
      <c r="B78">
        <v>245</v>
      </c>
      <c r="C78" s="2">
        <v>7.1719520948814564E-2</v>
      </c>
      <c r="D78" s="81">
        <v>0.25275442749261856</v>
      </c>
      <c r="E78" s="2">
        <f t="shared" si="2"/>
        <v>0.27132121910381424</v>
      </c>
      <c r="F78" s="2">
        <f t="shared" si="3"/>
        <v>245</v>
      </c>
      <c r="G78" s="2">
        <f t="shared" si="4"/>
        <v>60025</v>
      </c>
      <c r="H78" s="2">
        <f t="shared" si="5"/>
        <v>7.1719520948814564E-2</v>
      </c>
      <c r="I78" s="2">
        <f t="shared" si="6"/>
        <v>5.1436896851274512E-3</v>
      </c>
      <c r="J78" s="2">
        <f t="shared" si="7"/>
        <v>17.571282632459567</v>
      </c>
      <c r="M78" s="2">
        <f t="shared" ref="M78:AD78" si="11">M63</f>
        <v>0.3</v>
      </c>
      <c r="N78" s="2">
        <f t="shared" si="11"/>
        <v>0.3803758477086655</v>
      </c>
      <c r="O78" s="2">
        <f t="shared" si="11"/>
        <v>0.35590773380229523</v>
      </c>
      <c r="P78" s="2">
        <f t="shared" si="11"/>
        <v>0.33373779512122781</v>
      </c>
      <c r="Q78" s="2">
        <f t="shared" si="11"/>
        <v>0.31386603166546567</v>
      </c>
      <c r="R78" s="2">
        <f t="shared" si="11"/>
        <v>0.29629244343500727</v>
      </c>
      <c r="S78" s="2">
        <f t="shared" si="11"/>
        <v>0.28101703042985171</v>
      </c>
      <c r="T78" s="2">
        <f t="shared" si="11"/>
        <v>0.26803979265000122</v>
      </c>
      <c r="U78" s="2">
        <f t="shared" si="11"/>
        <v>0.25736073009545446</v>
      </c>
      <c r="V78" s="2">
        <f t="shared" si="11"/>
        <v>0.24897984276621099</v>
      </c>
      <c r="W78" s="2">
        <f t="shared" si="11"/>
        <v>0.24289713066227214</v>
      </c>
      <c r="X78" s="2">
        <f t="shared" si="11"/>
        <v>0.23911259378363747</v>
      </c>
      <c r="Y78" s="2">
        <f t="shared" si="11"/>
        <v>0.23762623213030565</v>
      </c>
      <c r="Z78" s="2">
        <f t="shared" si="11"/>
        <v>0.23843804570227889</v>
      </c>
      <c r="AA78" s="2">
        <f t="shared" si="11"/>
        <v>0.24154803449955586</v>
      </c>
      <c r="AB78" s="2">
        <f t="shared" si="11"/>
        <v>0.24695619852213657</v>
      </c>
      <c r="AC78" s="2">
        <f t="shared" si="11"/>
        <v>0.25466253777002057</v>
      </c>
      <c r="AD78" s="2">
        <f t="shared" si="11"/>
        <v>0.26466705224320963</v>
      </c>
    </row>
    <row r="79" spans="2:30" x14ac:dyDescent="0.2">
      <c r="B79">
        <v>250</v>
      </c>
      <c r="C79" s="2">
        <v>7.1719520948814564E-2</v>
      </c>
      <c r="D79" s="81">
        <v>0.23876961320638657</v>
      </c>
      <c r="E79" s="2">
        <f t="shared" si="2"/>
        <v>0.26546231648642549</v>
      </c>
      <c r="F79" s="2">
        <f t="shared" si="3"/>
        <v>250</v>
      </c>
      <c r="G79" s="2">
        <f t="shared" si="4"/>
        <v>62500</v>
      </c>
      <c r="H79" s="2">
        <f t="shared" si="5"/>
        <v>7.1719520948814564E-2</v>
      </c>
      <c r="I79" s="2">
        <f t="shared" si="6"/>
        <v>5.1436896851274512E-3</v>
      </c>
      <c r="J79" s="2">
        <f t="shared" si="7"/>
        <v>17.929880237203641</v>
      </c>
      <c r="M79" s="2">
        <f t="shared" ref="M79:AD79" si="12">M64</f>
        <v>0.4</v>
      </c>
      <c r="N79" s="2">
        <f t="shared" si="12"/>
        <v>0.36417611460220078</v>
      </c>
      <c r="O79" s="2">
        <f t="shared" si="12"/>
        <v>0.34061669238395731</v>
      </c>
      <c r="P79" s="2">
        <f t="shared" si="12"/>
        <v>0.31935544539101662</v>
      </c>
      <c r="Q79" s="2">
        <f t="shared" si="12"/>
        <v>0.30039237362338123</v>
      </c>
      <c r="R79" s="2">
        <f t="shared" si="12"/>
        <v>0.28372747708104962</v>
      </c>
      <c r="S79" s="2">
        <f t="shared" si="12"/>
        <v>0.2693607557640208</v>
      </c>
      <c r="T79" s="2">
        <f t="shared" si="12"/>
        <v>0.25729220967229705</v>
      </c>
      <c r="U79" s="2">
        <f t="shared" si="12"/>
        <v>0.24752183880587705</v>
      </c>
      <c r="V79" s="2">
        <f t="shared" si="12"/>
        <v>0.24004964316476035</v>
      </c>
      <c r="W79" s="2">
        <f t="shared" si="12"/>
        <v>0.23487562274894824</v>
      </c>
      <c r="X79" s="2">
        <f t="shared" si="12"/>
        <v>0.23199977755844034</v>
      </c>
      <c r="Y79" s="2">
        <f t="shared" si="12"/>
        <v>0.23142210759323525</v>
      </c>
      <c r="Z79" s="2">
        <f t="shared" si="12"/>
        <v>0.23314261285333526</v>
      </c>
      <c r="AA79" s="2">
        <f t="shared" si="12"/>
        <v>0.23716129333873898</v>
      </c>
      <c r="AB79" s="2">
        <f t="shared" si="12"/>
        <v>0.24347814904944645</v>
      </c>
      <c r="AC79" s="2">
        <f t="shared" si="12"/>
        <v>0.25209317998545722</v>
      </c>
      <c r="AD79" s="2">
        <f t="shared" si="12"/>
        <v>0.26300638614677302</v>
      </c>
    </row>
    <row r="80" spans="2:30" x14ac:dyDescent="0.2">
      <c r="B80">
        <v>255</v>
      </c>
      <c r="C80" s="2">
        <v>7.1719520948814564E-2</v>
      </c>
      <c r="D80" s="81">
        <v>0.21537844091653824</v>
      </c>
      <c r="E80" s="2">
        <f t="shared" si="2"/>
        <v>0.26190158909433958</v>
      </c>
      <c r="F80" s="2">
        <f t="shared" si="3"/>
        <v>255</v>
      </c>
      <c r="G80" s="2">
        <f t="shared" si="4"/>
        <v>65025</v>
      </c>
      <c r="H80" s="2">
        <f t="shared" si="5"/>
        <v>7.1719520948814564E-2</v>
      </c>
      <c r="I80" s="2">
        <f t="shared" si="6"/>
        <v>5.1436896851274512E-3</v>
      </c>
      <c r="J80" s="2">
        <f t="shared" si="7"/>
        <v>18.288477841947714</v>
      </c>
      <c r="M80" s="2">
        <f t="shared" ref="M80:AD80" si="13">M65</f>
        <v>0.5</v>
      </c>
      <c r="N80" s="2">
        <f t="shared" si="13"/>
        <v>0.35067522013291291</v>
      </c>
      <c r="O80" s="2">
        <f t="shared" si="13"/>
        <v>0.32802448960279618</v>
      </c>
      <c r="P80" s="2">
        <f t="shared" si="13"/>
        <v>0.30767193429798223</v>
      </c>
      <c r="Q80" s="2">
        <f t="shared" si="13"/>
        <v>0.28961755421847357</v>
      </c>
      <c r="R80" s="2">
        <f t="shared" si="13"/>
        <v>0.2738613493642687</v>
      </c>
      <c r="S80" s="2">
        <f t="shared" si="13"/>
        <v>0.26040331973536662</v>
      </c>
      <c r="T80" s="2">
        <f t="shared" si="13"/>
        <v>0.24924346533176969</v>
      </c>
      <c r="U80" s="2">
        <f t="shared" si="13"/>
        <v>0.24038178615347644</v>
      </c>
      <c r="V80" s="2">
        <f t="shared" si="13"/>
        <v>0.23381828220048648</v>
      </c>
      <c r="W80" s="2">
        <f t="shared" si="13"/>
        <v>0.22955295347280114</v>
      </c>
      <c r="X80" s="2">
        <f t="shared" si="13"/>
        <v>0.22758579997041997</v>
      </c>
      <c r="Y80" s="2">
        <f t="shared" si="13"/>
        <v>0.22791682169334165</v>
      </c>
      <c r="Z80" s="2">
        <f t="shared" si="13"/>
        <v>0.23054601864156843</v>
      </c>
      <c r="AA80" s="2">
        <f t="shared" si="13"/>
        <v>0.23547339081509891</v>
      </c>
      <c r="AB80" s="2">
        <f t="shared" si="13"/>
        <v>0.24269893821393312</v>
      </c>
      <c r="AC80" s="2">
        <f t="shared" si="13"/>
        <v>0.2522226608380706</v>
      </c>
      <c r="AD80" s="2">
        <f t="shared" si="13"/>
        <v>0.2640445586875132</v>
      </c>
    </row>
    <row r="81" spans="2:30" x14ac:dyDescent="0.2">
      <c r="B81">
        <v>260</v>
      </c>
      <c r="C81" s="2">
        <v>7.1719520948814564E-2</v>
      </c>
      <c r="D81" s="81">
        <v>0.27000445872545242</v>
      </c>
      <c r="E81" s="2">
        <f t="shared" si="2"/>
        <v>0.26063903692755874</v>
      </c>
      <c r="F81" s="2">
        <f t="shared" si="3"/>
        <v>260</v>
      </c>
      <c r="G81" s="2">
        <f t="shared" si="4"/>
        <v>67600</v>
      </c>
      <c r="H81" s="2">
        <f t="shared" si="5"/>
        <v>7.1719520948814564E-2</v>
      </c>
      <c r="I81" s="2">
        <f t="shared" si="6"/>
        <v>5.1436896851274512E-3</v>
      </c>
      <c r="J81" s="2">
        <f t="shared" si="7"/>
        <v>18.647075446691787</v>
      </c>
      <c r="M81" s="2">
        <f t="shared" ref="M81:AD81" si="14">M66</f>
        <v>0.6</v>
      </c>
      <c r="N81" s="2">
        <f t="shared" si="14"/>
        <v>0.33987316430080172</v>
      </c>
      <c r="O81" s="2">
        <f t="shared" si="14"/>
        <v>0.31813112545881173</v>
      </c>
      <c r="P81" s="2">
        <f t="shared" si="14"/>
        <v>0.29868726184212457</v>
      </c>
      <c r="Q81" s="2">
        <f t="shared" si="14"/>
        <v>0.28154157345074271</v>
      </c>
      <c r="R81" s="2">
        <f t="shared" si="14"/>
        <v>0.26669406028466458</v>
      </c>
      <c r="S81" s="2">
        <f t="shared" si="14"/>
        <v>0.2541447223438893</v>
      </c>
      <c r="T81" s="2">
        <f t="shared" si="14"/>
        <v>0.24389355962841905</v>
      </c>
      <c r="U81" s="2">
        <f t="shared" si="14"/>
        <v>0.23594057213825256</v>
      </c>
      <c r="V81" s="2">
        <f t="shared" si="14"/>
        <v>0.23028575987338937</v>
      </c>
      <c r="W81" s="2">
        <f t="shared" si="14"/>
        <v>0.22692912283383079</v>
      </c>
      <c r="X81" s="2">
        <f t="shared" si="14"/>
        <v>0.2258706610195764</v>
      </c>
      <c r="Y81" s="2">
        <f t="shared" si="14"/>
        <v>0.22711037443062485</v>
      </c>
      <c r="Z81" s="2">
        <f t="shared" si="14"/>
        <v>0.23064826306697836</v>
      </c>
      <c r="AA81" s="2">
        <f t="shared" si="14"/>
        <v>0.23648432692863561</v>
      </c>
      <c r="AB81" s="2">
        <f t="shared" si="14"/>
        <v>0.24461856601559659</v>
      </c>
      <c r="AC81" s="2">
        <f t="shared" si="14"/>
        <v>0.25505098032786078</v>
      </c>
      <c r="AD81" s="2">
        <f t="shared" si="14"/>
        <v>0.26778156986543011</v>
      </c>
    </row>
    <row r="82" spans="2:30" x14ac:dyDescent="0.2">
      <c r="B82">
        <v>265</v>
      </c>
      <c r="C82" s="2">
        <v>7.1719520948814564E-2</v>
      </c>
      <c r="D82" s="81">
        <v>0.23100238293409348</v>
      </c>
      <c r="E82" s="2">
        <f t="shared" si="2"/>
        <v>0.26167465998608164</v>
      </c>
      <c r="F82" s="2">
        <f t="shared" si="3"/>
        <v>265</v>
      </c>
      <c r="G82" s="2">
        <f t="shared" si="4"/>
        <v>70225</v>
      </c>
      <c r="H82" s="2">
        <f t="shared" si="5"/>
        <v>7.1719520948814564E-2</v>
      </c>
      <c r="I82" s="2">
        <f t="shared" si="6"/>
        <v>5.1436896851274512E-3</v>
      </c>
      <c r="J82" s="2">
        <f t="shared" si="7"/>
        <v>19.00567305143586</v>
      </c>
      <c r="M82" s="2">
        <f t="shared" ref="M82:AD82" si="15">M67</f>
        <v>0.7</v>
      </c>
      <c r="N82" s="2">
        <f t="shared" si="15"/>
        <v>0.33176994710586732</v>
      </c>
      <c r="O82" s="2">
        <f t="shared" si="15"/>
        <v>0.31093659995200407</v>
      </c>
      <c r="P82" s="2">
        <f t="shared" si="15"/>
        <v>0.29240142802344365</v>
      </c>
      <c r="Q82" s="2">
        <f t="shared" si="15"/>
        <v>0.27616443132018853</v>
      </c>
      <c r="R82" s="2">
        <f t="shared" si="15"/>
        <v>0.26222560984223714</v>
      </c>
      <c r="S82" s="2">
        <f t="shared" si="15"/>
        <v>0.25058496358958865</v>
      </c>
      <c r="T82" s="2">
        <f t="shared" si="15"/>
        <v>0.24124249256224517</v>
      </c>
      <c r="U82" s="2">
        <f t="shared" si="15"/>
        <v>0.23419819676020542</v>
      </c>
      <c r="V82" s="2">
        <f t="shared" si="15"/>
        <v>0.22945207618346897</v>
      </c>
      <c r="W82" s="2">
        <f t="shared" si="15"/>
        <v>0.22700413083203719</v>
      </c>
      <c r="X82" s="2">
        <f t="shared" si="15"/>
        <v>0.22685436070590953</v>
      </c>
      <c r="Y82" s="2">
        <f t="shared" si="15"/>
        <v>0.22900276580508472</v>
      </c>
      <c r="Z82" s="2">
        <f t="shared" si="15"/>
        <v>0.23344934612956497</v>
      </c>
      <c r="AA82" s="2">
        <f t="shared" si="15"/>
        <v>0.24019410167934896</v>
      </c>
      <c r="AB82" s="2">
        <f t="shared" si="15"/>
        <v>0.24923703245443674</v>
      </c>
      <c r="AC82" s="2">
        <f t="shared" si="15"/>
        <v>0.26057813845482775</v>
      </c>
      <c r="AD82" s="2">
        <f t="shared" si="15"/>
        <v>0.27421741968052382</v>
      </c>
    </row>
    <row r="83" spans="2:30" x14ac:dyDescent="0.2">
      <c r="B83">
        <v>270</v>
      </c>
      <c r="C83" s="2">
        <v>7.1719520948814564E-2</v>
      </c>
      <c r="D83" s="81">
        <v>0.23977328091859818</v>
      </c>
      <c r="E83" s="2">
        <f t="shared" si="2"/>
        <v>0.26500845826990832</v>
      </c>
      <c r="F83" s="2">
        <f t="shared" si="3"/>
        <v>270</v>
      </c>
      <c r="G83" s="2">
        <f t="shared" si="4"/>
        <v>72900</v>
      </c>
      <c r="H83" s="2">
        <f t="shared" si="5"/>
        <v>7.1719520948814564E-2</v>
      </c>
      <c r="I83" s="2">
        <f t="shared" si="6"/>
        <v>5.1436896851274512E-3</v>
      </c>
      <c r="J83" s="2">
        <f t="shared" si="7"/>
        <v>19.364270656179933</v>
      </c>
      <c r="M83" s="2">
        <f t="shared" ref="M83:AD83" si="16">M68</f>
        <v>0.8</v>
      </c>
      <c r="N83" s="2">
        <f t="shared" si="16"/>
        <v>0.32636556854810961</v>
      </c>
      <c r="O83" s="2">
        <f t="shared" si="16"/>
        <v>0.30644091308237315</v>
      </c>
      <c r="P83" s="2">
        <f t="shared" si="16"/>
        <v>0.28881443284193947</v>
      </c>
      <c r="Q83" s="2">
        <f t="shared" si="16"/>
        <v>0.27348612782681114</v>
      </c>
      <c r="R83" s="2">
        <f t="shared" si="16"/>
        <v>0.26045599803698649</v>
      </c>
      <c r="S83" s="2">
        <f t="shared" si="16"/>
        <v>0.24972404347246474</v>
      </c>
      <c r="T83" s="2">
        <f t="shared" si="16"/>
        <v>0.241290264133248</v>
      </c>
      <c r="U83" s="2">
        <f t="shared" si="16"/>
        <v>0.23515466001933505</v>
      </c>
      <c r="V83" s="2">
        <f t="shared" si="16"/>
        <v>0.23131723113072539</v>
      </c>
      <c r="W83" s="2">
        <f t="shared" si="16"/>
        <v>0.22977797746742029</v>
      </c>
      <c r="X83" s="2">
        <f t="shared" si="16"/>
        <v>0.23053689902941943</v>
      </c>
      <c r="Y83" s="2">
        <f t="shared" si="16"/>
        <v>0.23359399581672136</v>
      </c>
      <c r="Z83" s="2">
        <f t="shared" si="16"/>
        <v>0.2389492678293284</v>
      </c>
      <c r="AA83" s="2">
        <f t="shared" si="16"/>
        <v>0.24660271506723913</v>
      </c>
      <c r="AB83" s="2">
        <f t="shared" si="16"/>
        <v>0.25655433753045365</v>
      </c>
      <c r="AC83" s="2">
        <f t="shared" si="16"/>
        <v>0.2688041352189714</v>
      </c>
      <c r="AD83" s="2">
        <f t="shared" si="16"/>
        <v>0.28335210813279427</v>
      </c>
    </row>
    <row r="84" spans="2:30" x14ac:dyDescent="0.2">
      <c r="B84">
        <v>275</v>
      </c>
      <c r="C84" s="2">
        <v>7.1719520948814564E-2</v>
      </c>
      <c r="D84" s="81">
        <v>0.3159395232796669</v>
      </c>
      <c r="E84" s="2">
        <f t="shared" si="2"/>
        <v>0.27064043177903824</v>
      </c>
      <c r="F84" s="2">
        <f t="shared" si="3"/>
        <v>275</v>
      </c>
      <c r="G84" s="2">
        <f t="shared" si="4"/>
        <v>75625</v>
      </c>
      <c r="H84" s="2">
        <f t="shared" si="5"/>
        <v>7.1719520948814564E-2</v>
      </c>
      <c r="I84" s="2">
        <f t="shared" si="6"/>
        <v>5.1436896851274512E-3</v>
      </c>
      <c r="J84" s="2">
        <f t="shared" si="7"/>
        <v>19.722868260924006</v>
      </c>
      <c r="M84" s="2">
        <f t="shared" ref="M84:AD84" si="17">M69</f>
        <v>0.9</v>
      </c>
      <c r="N84" s="2">
        <f t="shared" si="17"/>
        <v>0.32366002862752868</v>
      </c>
      <c r="O84" s="2">
        <f t="shared" si="17"/>
        <v>0.30464406484991896</v>
      </c>
      <c r="P84" s="2">
        <f t="shared" si="17"/>
        <v>0.28792627629761208</v>
      </c>
      <c r="Q84" s="2">
        <f t="shared" si="17"/>
        <v>0.27350666297061044</v>
      </c>
      <c r="R84" s="2">
        <f t="shared" si="17"/>
        <v>0.26138522486891258</v>
      </c>
      <c r="S84" s="2">
        <f t="shared" si="17"/>
        <v>0.25156196199251757</v>
      </c>
      <c r="T84" s="2">
        <f t="shared" si="17"/>
        <v>0.24403687434142762</v>
      </c>
      <c r="U84" s="2">
        <f t="shared" si="17"/>
        <v>0.23880996191564141</v>
      </c>
      <c r="V84" s="2">
        <f t="shared" si="17"/>
        <v>0.23588122471515849</v>
      </c>
      <c r="W84" s="2">
        <f t="shared" si="17"/>
        <v>0.23525066273998019</v>
      </c>
      <c r="X84" s="2">
        <f t="shared" si="17"/>
        <v>0.23691827599010601</v>
      </c>
      <c r="Y84" s="2">
        <f t="shared" si="17"/>
        <v>0.24088406446553473</v>
      </c>
      <c r="Z84" s="2">
        <f t="shared" si="17"/>
        <v>0.24714802816626852</v>
      </c>
      <c r="AA84" s="2">
        <f t="shared" si="17"/>
        <v>0.25571016709230604</v>
      </c>
      <c r="AB84" s="2">
        <f t="shared" si="17"/>
        <v>0.26657048124364729</v>
      </c>
      <c r="AC84" s="2">
        <f t="shared" si="17"/>
        <v>0.27972897062029184</v>
      </c>
      <c r="AD84" s="2">
        <f t="shared" si="17"/>
        <v>0.29518563522224139</v>
      </c>
    </row>
    <row r="85" spans="2:30" x14ac:dyDescent="0.2">
      <c r="B85">
        <v>280</v>
      </c>
      <c r="C85" s="2">
        <v>7.1719520948814564E-2</v>
      </c>
      <c r="D85" s="81">
        <v>0.30889805406332016</v>
      </c>
      <c r="E85" s="2">
        <f t="shared" si="2"/>
        <v>0.27857058051347322</v>
      </c>
      <c r="F85" s="2">
        <f t="shared" si="3"/>
        <v>280</v>
      </c>
      <c r="G85" s="2">
        <f t="shared" si="4"/>
        <v>78400</v>
      </c>
      <c r="H85" s="2">
        <f t="shared" si="5"/>
        <v>7.1719520948814564E-2</v>
      </c>
      <c r="I85" s="2">
        <f t="shared" si="6"/>
        <v>5.1436896851274512E-3</v>
      </c>
      <c r="J85" s="2">
        <f t="shared" si="7"/>
        <v>20.081465865668079</v>
      </c>
      <c r="M85" s="2">
        <f t="shared" ref="M85:AD85" si="18">M70</f>
        <v>1</v>
      </c>
      <c r="N85" s="2">
        <f t="shared" si="18"/>
        <v>0.32365332734412455</v>
      </c>
      <c r="O85" s="2">
        <f t="shared" si="18"/>
        <v>0.30554605525464162</v>
      </c>
      <c r="P85" s="2">
        <f t="shared" si="18"/>
        <v>0.28973695839046143</v>
      </c>
      <c r="Q85" s="2">
        <f t="shared" si="18"/>
        <v>0.27622603675158663</v>
      </c>
      <c r="R85" s="2">
        <f t="shared" si="18"/>
        <v>0.26501329033801546</v>
      </c>
      <c r="S85" s="2">
        <f t="shared" si="18"/>
        <v>0.25609871914974724</v>
      </c>
      <c r="T85" s="2">
        <f t="shared" si="18"/>
        <v>0.24948232318678407</v>
      </c>
      <c r="U85" s="2">
        <f t="shared" si="18"/>
        <v>0.24516410244912459</v>
      </c>
      <c r="V85" s="2">
        <f t="shared" si="18"/>
        <v>0.24314405693676841</v>
      </c>
      <c r="W85" s="2">
        <f t="shared" si="18"/>
        <v>0.24342218664971685</v>
      </c>
      <c r="X85" s="2">
        <f t="shared" si="18"/>
        <v>0.24599849158796946</v>
      </c>
      <c r="Y85" s="2">
        <f t="shared" si="18"/>
        <v>0.2508729717515249</v>
      </c>
      <c r="Z85" s="2">
        <f t="shared" si="18"/>
        <v>0.25804562714038548</v>
      </c>
      <c r="AA85" s="2">
        <f t="shared" si="18"/>
        <v>0.2675164577545498</v>
      </c>
      <c r="AB85" s="2">
        <f t="shared" si="18"/>
        <v>0.27928546359401774</v>
      </c>
      <c r="AC85" s="2">
        <f t="shared" si="18"/>
        <v>0.29335264465878907</v>
      </c>
      <c r="AD85" s="2">
        <f t="shared" si="18"/>
        <v>0.30971800094886548</v>
      </c>
    </row>
    <row r="86" spans="2:30" x14ac:dyDescent="0.2">
      <c r="B86" s="2">
        <v>200</v>
      </c>
      <c r="C86">
        <v>0.11139842175295171</v>
      </c>
      <c r="D86" s="81">
        <v>0.41748661547899246</v>
      </c>
      <c r="E86" s="2">
        <f t="shared" si="2"/>
        <v>0.4182737856031008</v>
      </c>
      <c r="F86" s="2">
        <f t="shared" si="3"/>
        <v>200</v>
      </c>
      <c r="G86" s="2">
        <f t="shared" si="4"/>
        <v>40000</v>
      </c>
      <c r="H86" s="2">
        <f t="shared" si="5"/>
        <v>0.11139842175295171</v>
      </c>
      <c r="I86" s="2">
        <f t="shared" si="6"/>
        <v>1.2409608369048506E-2</v>
      </c>
      <c r="J86" s="2">
        <f t="shared" si="7"/>
        <v>22.279684350590344</v>
      </c>
      <c r="M86" s="2">
        <f t="shared" ref="M86:AD86" si="19">M71</f>
        <v>1.1000000000000001</v>
      </c>
      <c r="N86" s="2">
        <f t="shared" si="19"/>
        <v>0.32634546469789716</v>
      </c>
      <c r="O86" s="2">
        <f t="shared" si="19"/>
        <v>0.30914688429654091</v>
      </c>
      <c r="P86" s="2">
        <f t="shared" si="19"/>
        <v>0.29424647912048751</v>
      </c>
      <c r="Q86" s="2">
        <f t="shared" si="19"/>
        <v>0.28164424916973951</v>
      </c>
      <c r="R86" s="2">
        <f t="shared" si="19"/>
        <v>0.27134019444429514</v>
      </c>
      <c r="S86" s="2">
        <f t="shared" si="19"/>
        <v>0.2633343149441536</v>
      </c>
      <c r="T86" s="2">
        <f t="shared" si="19"/>
        <v>0.25762661066931714</v>
      </c>
      <c r="U86" s="2">
        <f t="shared" si="19"/>
        <v>0.2542170816197844</v>
      </c>
      <c r="V86" s="2">
        <f t="shared" si="19"/>
        <v>0.25310572779555496</v>
      </c>
      <c r="W86" s="2">
        <f t="shared" si="19"/>
        <v>0.25429254919663025</v>
      </c>
      <c r="X86" s="2">
        <f t="shared" si="19"/>
        <v>0.2577775458230096</v>
      </c>
      <c r="Y86" s="2">
        <f t="shared" si="19"/>
        <v>0.2635607176746918</v>
      </c>
      <c r="Z86" s="2">
        <f t="shared" si="19"/>
        <v>0.27164206475167907</v>
      </c>
      <c r="AA86" s="2">
        <f t="shared" si="19"/>
        <v>0.28202158705397018</v>
      </c>
      <c r="AB86" s="2">
        <f t="shared" si="19"/>
        <v>0.29469928458156491</v>
      </c>
      <c r="AC86" s="2">
        <f t="shared" si="19"/>
        <v>0.30967515733446294</v>
      </c>
      <c r="AD86" s="2">
        <f t="shared" si="19"/>
        <v>0.32694920531266602</v>
      </c>
    </row>
    <row r="87" spans="2:30" x14ac:dyDescent="0.2">
      <c r="B87" s="2">
        <v>205</v>
      </c>
      <c r="C87" s="2">
        <v>0.11139842175295171</v>
      </c>
      <c r="D87" s="81">
        <v>0.39196822792291641</v>
      </c>
      <c r="E87" s="2">
        <f t="shared" si="2"/>
        <v>0.3920918648315237</v>
      </c>
      <c r="F87" s="2">
        <f t="shared" si="3"/>
        <v>205</v>
      </c>
      <c r="G87" s="2">
        <f t="shared" si="4"/>
        <v>42025</v>
      </c>
      <c r="H87" s="2">
        <f t="shared" si="5"/>
        <v>0.11139842175295171</v>
      </c>
      <c r="I87" s="2">
        <f t="shared" si="6"/>
        <v>1.2409608369048506E-2</v>
      </c>
      <c r="J87" s="2">
        <f t="shared" si="7"/>
        <v>22.8366764593551</v>
      </c>
      <c r="M87" s="2">
        <f t="shared" ref="M87:AD87" si="20">M72</f>
        <v>1.2</v>
      </c>
      <c r="N87" s="2">
        <f t="shared" si="20"/>
        <v>0.33173644068884656</v>
      </c>
      <c r="O87" s="2">
        <f t="shared" si="20"/>
        <v>0.31544655197561711</v>
      </c>
      <c r="P87" s="2">
        <f t="shared" si="20"/>
        <v>0.30145483848769045</v>
      </c>
      <c r="Q87" s="2">
        <f t="shared" si="20"/>
        <v>0.28976130022506913</v>
      </c>
      <c r="R87" s="2">
        <f t="shared" si="20"/>
        <v>0.28036593718775155</v>
      </c>
      <c r="S87" s="2">
        <f t="shared" si="20"/>
        <v>0.27326874937573681</v>
      </c>
      <c r="T87" s="2">
        <f t="shared" si="20"/>
        <v>0.26846973678902708</v>
      </c>
      <c r="U87" s="2">
        <f t="shared" si="20"/>
        <v>0.26596889942762114</v>
      </c>
      <c r="V87" s="2">
        <f t="shared" si="20"/>
        <v>0.26576623729151849</v>
      </c>
      <c r="W87" s="2">
        <f t="shared" si="20"/>
        <v>0.26786175038072046</v>
      </c>
      <c r="X87" s="2">
        <f t="shared" si="20"/>
        <v>0.27225543869522661</v>
      </c>
      <c r="Y87" s="2">
        <f t="shared" si="20"/>
        <v>0.27894730223503561</v>
      </c>
      <c r="Z87" s="2">
        <f t="shared" si="20"/>
        <v>0.28793734100014967</v>
      </c>
      <c r="AA87" s="2">
        <f t="shared" si="20"/>
        <v>0.29922555499056747</v>
      </c>
      <c r="AB87" s="2">
        <f t="shared" si="20"/>
        <v>0.31281194420628899</v>
      </c>
      <c r="AC87" s="2">
        <f t="shared" si="20"/>
        <v>0.3286965086473137</v>
      </c>
      <c r="AD87" s="2">
        <f t="shared" si="20"/>
        <v>0.34687924831364358</v>
      </c>
    </row>
    <row r="88" spans="2:30" x14ac:dyDescent="0.2">
      <c r="B88" s="2">
        <v>210</v>
      </c>
      <c r="C88" s="2">
        <v>0.11139842175295171</v>
      </c>
      <c r="D88" s="81">
        <v>0.36481928080320358</v>
      </c>
      <c r="E88" s="2">
        <f t="shared" si="2"/>
        <v>0.36820811928524944</v>
      </c>
      <c r="F88" s="2">
        <f t="shared" si="3"/>
        <v>210</v>
      </c>
      <c r="G88" s="2">
        <f t="shared" si="4"/>
        <v>44100</v>
      </c>
      <c r="H88" s="2">
        <f t="shared" si="5"/>
        <v>0.11139842175295171</v>
      </c>
      <c r="I88" s="2">
        <f t="shared" si="6"/>
        <v>1.2409608369048506E-2</v>
      </c>
      <c r="J88" s="2">
        <f t="shared" si="7"/>
        <v>23.39366856811986</v>
      </c>
      <c r="M88" s="2">
        <f t="shared" ref="M88:AD88" si="21">M73</f>
        <v>1.3</v>
      </c>
      <c r="N88" s="2">
        <f t="shared" si="21"/>
        <v>0.33982625531697264</v>
      </c>
      <c r="O88" s="2">
        <f t="shared" si="21"/>
        <v>0.32444505829186993</v>
      </c>
      <c r="P88" s="2">
        <f t="shared" si="21"/>
        <v>0.31136203649207006</v>
      </c>
      <c r="Q88" s="2">
        <f t="shared" si="21"/>
        <v>0.30057718991757548</v>
      </c>
      <c r="R88" s="2">
        <f t="shared" si="21"/>
        <v>0.29209051856838458</v>
      </c>
      <c r="S88" s="2">
        <f t="shared" si="21"/>
        <v>0.28590202244449664</v>
      </c>
      <c r="T88" s="2">
        <f t="shared" si="21"/>
        <v>0.28201170154591376</v>
      </c>
      <c r="U88" s="2">
        <f t="shared" si="21"/>
        <v>0.28041955587263451</v>
      </c>
      <c r="V88" s="2">
        <f t="shared" si="21"/>
        <v>0.28112558542465865</v>
      </c>
      <c r="W88" s="2">
        <f t="shared" si="21"/>
        <v>0.28412979020198731</v>
      </c>
      <c r="X88" s="2">
        <f t="shared" si="21"/>
        <v>0.28943217020462025</v>
      </c>
      <c r="Y88" s="2">
        <f t="shared" si="21"/>
        <v>0.29703272543255593</v>
      </c>
      <c r="Z88" s="2">
        <f t="shared" si="21"/>
        <v>0.30693145588579679</v>
      </c>
      <c r="AA88" s="2">
        <f t="shared" si="21"/>
        <v>0.31912836156434138</v>
      </c>
      <c r="AB88" s="2">
        <f t="shared" si="21"/>
        <v>0.33362344246818959</v>
      </c>
      <c r="AC88" s="2">
        <f t="shared" si="21"/>
        <v>0.3504166985973412</v>
      </c>
      <c r="AD88" s="2">
        <f t="shared" si="21"/>
        <v>0.36950812995179777</v>
      </c>
    </row>
    <row r="89" spans="2:30" x14ac:dyDescent="0.2">
      <c r="B89" s="2">
        <v>215</v>
      </c>
      <c r="C89" s="2">
        <v>0.11139842175295171</v>
      </c>
      <c r="D89" s="81">
        <v>0.34196045249700546</v>
      </c>
      <c r="E89" s="2">
        <f t="shared" si="2"/>
        <v>0.34662254896428052</v>
      </c>
      <c r="F89" s="2">
        <f t="shared" si="3"/>
        <v>215</v>
      </c>
      <c r="G89" s="2">
        <f t="shared" si="4"/>
        <v>46225</v>
      </c>
      <c r="H89" s="2">
        <f t="shared" si="5"/>
        <v>0.11139842175295171</v>
      </c>
      <c r="I89" s="2">
        <f t="shared" si="6"/>
        <v>1.2409608369048506E-2</v>
      </c>
      <c r="J89" s="2">
        <f t="shared" si="7"/>
        <v>23.950660676884617</v>
      </c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2:30" x14ac:dyDescent="0.2">
      <c r="B90" s="2">
        <v>220</v>
      </c>
      <c r="C90" s="2">
        <v>0.11139842175295171</v>
      </c>
      <c r="D90" s="81">
        <v>0.31706038862466812</v>
      </c>
      <c r="E90" s="2">
        <f t="shared" si="2"/>
        <v>0.32733515386861528</v>
      </c>
      <c r="F90" s="2">
        <f t="shared" si="3"/>
        <v>220</v>
      </c>
      <c r="G90" s="2">
        <f t="shared" si="4"/>
        <v>48400</v>
      </c>
      <c r="H90" s="2">
        <f t="shared" si="5"/>
        <v>0.11139842175295171</v>
      </c>
      <c r="I90" s="2">
        <f t="shared" si="6"/>
        <v>1.2409608369048506E-2</v>
      </c>
      <c r="J90" s="2">
        <f t="shared" si="7"/>
        <v>24.507652785649377</v>
      </c>
    </row>
    <row r="91" spans="2:30" x14ac:dyDescent="0.2">
      <c r="B91" s="2">
        <v>225</v>
      </c>
      <c r="C91" s="2">
        <v>0.11139842175295171</v>
      </c>
      <c r="D91" s="81">
        <v>0.29692452400922775</v>
      </c>
      <c r="E91" s="2">
        <f t="shared" si="2"/>
        <v>0.31034593399825294</v>
      </c>
      <c r="F91" s="2">
        <f t="shared" si="3"/>
        <v>225</v>
      </c>
      <c r="G91" s="2">
        <f t="shared" si="4"/>
        <v>50625</v>
      </c>
      <c r="H91" s="2">
        <f t="shared" si="5"/>
        <v>0.11139842175295171</v>
      </c>
      <c r="I91" s="2">
        <f t="shared" si="6"/>
        <v>1.2409608369048506E-2</v>
      </c>
      <c r="J91" s="2">
        <f t="shared" si="7"/>
        <v>25.064644894414137</v>
      </c>
    </row>
    <row r="92" spans="2:30" x14ac:dyDescent="0.2">
      <c r="B92" s="2">
        <v>230</v>
      </c>
      <c r="C92" s="2">
        <v>0.11139842175295171</v>
      </c>
      <c r="D92" s="81">
        <v>0.27774084359407425</v>
      </c>
      <c r="E92" s="2">
        <f t="shared" si="2"/>
        <v>0.29565488935319562</v>
      </c>
      <c r="F92" s="2">
        <f t="shared" si="3"/>
        <v>230</v>
      </c>
      <c r="G92" s="2">
        <f t="shared" si="4"/>
        <v>52900</v>
      </c>
      <c r="H92" s="2">
        <f t="shared" si="5"/>
        <v>0.11139842175295171</v>
      </c>
      <c r="I92" s="2">
        <f t="shared" si="6"/>
        <v>1.2409608369048506E-2</v>
      </c>
      <c r="J92" s="2">
        <f t="shared" si="7"/>
        <v>25.621637003178893</v>
      </c>
    </row>
    <row r="93" spans="2:30" x14ac:dyDescent="0.2">
      <c r="B93" s="2">
        <v>235</v>
      </c>
      <c r="C93" s="2">
        <v>0.11139842175295171</v>
      </c>
      <c r="D93" s="81">
        <v>0.26119235903024673</v>
      </c>
      <c r="E93" s="2">
        <f t="shared" si="2"/>
        <v>0.28326201993344208</v>
      </c>
      <c r="F93" s="2">
        <f t="shared" si="3"/>
        <v>235</v>
      </c>
      <c r="G93" s="2">
        <f t="shared" si="4"/>
        <v>55225</v>
      </c>
      <c r="H93" s="2">
        <f t="shared" si="5"/>
        <v>0.11139842175295171</v>
      </c>
      <c r="I93" s="2">
        <f t="shared" si="6"/>
        <v>1.2409608369048506E-2</v>
      </c>
      <c r="J93" s="2">
        <f t="shared" si="7"/>
        <v>26.178629111943653</v>
      </c>
    </row>
    <row r="94" spans="2:30" x14ac:dyDescent="0.2">
      <c r="B94" s="2">
        <v>240</v>
      </c>
      <c r="C94" s="2">
        <v>0.11139842175295171</v>
      </c>
      <c r="D94" s="81">
        <v>0.24759862571954727</v>
      </c>
      <c r="E94" s="2">
        <f t="shared" si="2"/>
        <v>0.27316732573899177</v>
      </c>
      <c r="F94" s="2">
        <f t="shared" si="3"/>
        <v>240</v>
      </c>
      <c r="G94" s="2">
        <f t="shared" si="4"/>
        <v>57600</v>
      </c>
      <c r="H94" s="2">
        <f t="shared" si="5"/>
        <v>0.11139842175295171</v>
      </c>
      <c r="I94" s="2">
        <f t="shared" si="6"/>
        <v>1.2409608369048506E-2</v>
      </c>
      <c r="J94" s="2">
        <f t="shared" si="7"/>
        <v>26.73562122070841</v>
      </c>
    </row>
    <row r="95" spans="2:30" x14ac:dyDescent="0.2">
      <c r="B95" s="2">
        <v>245</v>
      </c>
      <c r="C95" s="2">
        <v>0.11139842175295171</v>
      </c>
      <c r="D95" s="81">
        <v>0.23673970252275467</v>
      </c>
      <c r="E95" s="2">
        <f t="shared" si="2"/>
        <v>0.26537080676984615</v>
      </c>
      <c r="F95" s="2">
        <f t="shared" si="3"/>
        <v>245</v>
      </c>
      <c r="G95" s="2">
        <f t="shared" si="4"/>
        <v>60025</v>
      </c>
      <c r="H95" s="2">
        <f t="shared" si="5"/>
        <v>0.11139842175295171</v>
      </c>
      <c r="I95" s="2">
        <f t="shared" si="6"/>
        <v>1.2409608369048506E-2</v>
      </c>
      <c r="J95" s="2">
        <f t="shared" si="7"/>
        <v>27.29261332947317</v>
      </c>
    </row>
    <row r="96" spans="2:30" x14ac:dyDescent="0.2">
      <c r="B96" s="2">
        <v>250</v>
      </c>
      <c r="C96" s="2">
        <v>0.11139842175295171</v>
      </c>
      <c r="D96" s="81">
        <v>0.22675935178995132</v>
      </c>
      <c r="E96" s="2">
        <f t="shared" si="2"/>
        <v>0.25987246302600464</v>
      </c>
      <c r="F96" s="2">
        <f t="shared" si="3"/>
        <v>250</v>
      </c>
      <c r="G96" s="2">
        <f t="shared" si="4"/>
        <v>62500</v>
      </c>
      <c r="H96" s="2">
        <f t="shared" si="5"/>
        <v>0.11139842175295171</v>
      </c>
      <c r="I96" s="2">
        <f t="shared" si="6"/>
        <v>1.2409608369048506E-2</v>
      </c>
      <c r="J96" s="2">
        <f t="shared" si="7"/>
        <v>27.849605438237926</v>
      </c>
    </row>
    <row r="97" spans="2:10" x14ac:dyDescent="0.2">
      <c r="B97" s="2">
        <v>255</v>
      </c>
      <c r="C97" s="2">
        <v>0.11139842175295171</v>
      </c>
      <c r="D97" s="81">
        <v>0.21752092987298965</v>
      </c>
      <c r="E97" s="2">
        <f t="shared" si="2"/>
        <v>0.25667229450746598</v>
      </c>
      <c r="F97" s="2">
        <f t="shared" si="3"/>
        <v>255</v>
      </c>
      <c r="G97" s="2">
        <f t="shared" si="4"/>
        <v>65025</v>
      </c>
      <c r="H97" s="2">
        <f t="shared" si="5"/>
        <v>0.11139842175295171</v>
      </c>
      <c r="I97" s="2">
        <f t="shared" si="6"/>
        <v>1.2409608369048506E-2</v>
      </c>
      <c r="J97" s="2">
        <f t="shared" si="7"/>
        <v>28.406597547002686</v>
      </c>
    </row>
    <row r="98" spans="2:10" x14ac:dyDescent="0.2">
      <c r="B98" s="2">
        <v>260</v>
      </c>
      <c r="C98" s="2">
        <v>0.11139842175295171</v>
      </c>
      <c r="D98" s="81">
        <v>0.20871598273515701</v>
      </c>
      <c r="E98" s="2">
        <f t="shared" si="2"/>
        <v>0.25577030121423244</v>
      </c>
      <c r="F98" s="2">
        <f t="shared" si="3"/>
        <v>260</v>
      </c>
      <c r="G98" s="2">
        <f t="shared" si="4"/>
        <v>67600</v>
      </c>
      <c r="H98" s="2">
        <f t="shared" si="5"/>
        <v>0.11139842175295171</v>
      </c>
      <c r="I98" s="2">
        <f t="shared" si="6"/>
        <v>1.2409608369048506E-2</v>
      </c>
      <c r="J98" s="2">
        <f t="shared" si="7"/>
        <v>28.963589655767446</v>
      </c>
    </row>
    <row r="99" spans="2:10" x14ac:dyDescent="0.2">
      <c r="B99" s="2">
        <v>265</v>
      </c>
      <c r="C99" s="2">
        <v>0.11139842175295171</v>
      </c>
      <c r="D99" s="81">
        <v>0.19925970584154129</v>
      </c>
      <c r="E99" s="2">
        <f t="shared" si="2"/>
        <v>0.25716648314630258</v>
      </c>
      <c r="F99" s="2">
        <f t="shared" si="3"/>
        <v>265</v>
      </c>
      <c r="G99" s="2">
        <f t="shared" si="4"/>
        <v>70225</v>
      </c>
      <c r="H99" s="2">
        <f t="shared" si="5"/>
        <v>0.11139842175295171</v>
      </c>
      <c r="I99" s="2">
        <f t="shared" si="6"/>
        <v>1.2409608369048506E-2</v>
      </c>
      <c r="J99" s="2">
        <f t="shared" si="7"/>
        <v>29.520581764532203</v>
      </c>
    </row>
    <row r="100" spans="2:10" x14ac:dyDescent="0.2">
      <c r="B100" s="2">
        <v>270</v>
      </c>
      <c r="C100" s="2">
        <v>0.11139842175295171</v>
      </c>
      <c r="D100" s="81">
        <v>0.21180059760808945</v>
      </c>
      <c r="E100" s="2">
        <f t="shared" si="2"/>
        <v>0.26086084030367651</v>
      </c>
      <c r="F100" s="2">
        <f t="shared" si="3"/>
        <v>270</v>
      </c>
      <c r="G100" s="2">
        <f t="shared" si="4"/>
        <v>72900</v>
      </c>
      <c r="H100" s="2">
        <f t="shared" si="5"/>
        <v>0.11139842175295171</v>
      </c>
      <c r="I100" s="2">
        <f t="shared" si="6"/>
        <v>1.2409608369048506E-2</v>
      </c>
      <c r="J100" s="2">
        <f t="shared" si="7"/>
        <v>30.077573873296963</v>
      </c>
    </row>
    <row r="101" spans="2:10" x14ac:dyDescent="0.2">
      <c r="B101" s="2">
        <v>275</v>
      </c>
      <c r="C101" s="2">
        <v>0.11139842175295171</v>
      </c>
      <c r="D101" s="81">
        <v>0.29386524111032486</v>
      </c>
      <c r="E101" s="2">
        <f t="shared" si="2"/>
        <v>0.26685337268635367</v>
      </c>
      <c r="F101" s="2">
        <f t="shared" si="3"/>
        <v>275</v>
      </c>
      <c r="G101" s="2">
        <f t="shared" si="4"/>
        <v>75625</v>
      </c>
      <c r="H101" s="2">
        <f t="shared" si="5"/>
        <v>0.11139842175295171</v>
      </c>
      <c r="I101" s="2">
        <f t="shared" si="6"/>
        <v>1.2409608369048506E-2</v>
      </c>
      <c r="J101" s="2">
        <f t="shared" si="7"/>
        <v>30.634565982061719</v>
      </c>
    </row>
    <row r="102" spans="2:10" x14ac:dyDescent="0.2">
      <c r="B102" s="2">
        <v>280</v>
      </c>
      <c r="C102" s="2">
        <v>0.11139842175295171</v>
      </c>
      <c r="D102" s="81">
        <v>0.22836942225694656</v>
      </c>
      <c r="E102" s="2">
        <f t="shared" si="2"/>
        <v>0.27514408029433596</v>
      </c>
      <c r="F102" s="2">
        <f t="shared" si="3"/>
        <v>280</v>
      </c>
      <c r="G102" s="2">
        <f t="shared" si="4"/>
        <v>78400</v>
      </c>
      <c r="H102" s="2">
        <f t="shared" si="5"/>
        <v>0.11139842175295171</v>
      </c>
      <c r="I102" s="2">
        <f t="shared" si="6"/>
        <v>1.2409608369048506E-2</v>
      </c>
      <c r="J102" s="2">
        <f t="shared" si="7"/>
        <v>31.191558090826479</v>
      </c>
    </row>
    <row r="103" spans="2:10" x14ac:dyDescent="0.2">
      <c r="B103">
        <v>200</v>
      </c>
      <c r="C103">
        <v>0.19075862445673022</v>
      </c>
      <c r="D103" s="82">
        <v>0.35555768758058548</v>
      </c>
      <c r="E103" s="2">
        <f t="shared" si="2"/>
        <v>0.40115713679510134</v>
      </c>
      <c r="F103" s="2">
        <f t="shared" si="3"/>
        <v>200</v>
      </c>
      <c r="G103" s="2">
        <f t="shared" si="4"/>
        <v>40000</v>
      </c>
      <c r="H103" s="2">
        <f t="shared" si="5"/>
        <v>0.19075862445673022</v>
      </c>
      <c r="I103" s="2">
        <f t="shared" si="6"/>
        <v>3.6388852804623832E-2</v>
      </c>
      <c r="J103" s="2">
        <f t="shared" si="7"/>
        <v>38.151724891346042</v>
      </c>
    </row>
    <row r="104" spans="2:10" x14ac:dyDescent="0.2">
      <c r="B104">
        <v>205</v>
      </c>
      <c r="C104" s="2">
        <v>0.19075862445673022</v>
      </c>
      <c r="D104" s="80">
        <v>0.33712413161993027</v>
      </c>
      <c r="E104" s="2">
        <f t="shared" si="2"/>
        <v>0.37569635558917408</v>
      </c>
      <c r="F104" s="2">
        <f t="shared" si="3"/>
        <v>205</v>
      </c>
      <c r="G104" s="2">
        <f t="shared" si="4"/>
        <v>42025</v>
      </c>
      <c r="H104" s="2">
        <f t="shared" si="5"/>
        <v>0.19075862445673022</v>
      </c>
      <c r="I104" s="2">
        <f t="shared" si="6"/>
        <v>3.6388852804623832E-2</v>
      </c>
      <c r="J104" s="2">
        <f t="shared" si="7"/>
        <v>39.105518013629698</v>
      </c>
    </row>
    <row r="105" spans="2:10" x14ac:dyDescent="0.2">
      <c r="B105">
        <v>210</v>
      </c>
      <c r="C105" s="2">
        <v>0.19075862445673022</v>
      </c>
      <c r="D105" s="80">
        <v>0.31881723552942276</v>
      </c>
      <c r="E105" s="2">
        <f t="shared" si="2"/>
        <v>0.35253374960854961</v>
      </c>
      <c r="F105" s="2">
        <f t="shared" si="3"/>
        <v>210</v>
      </c>
      <c r="G105" s="2">
        <f t="shared" si="4"/>
        <v>44100</v>
      </c>
      <c r="H105" s="2">
        <f t="shared" si="5"/>
        <v>0.19075862445673022</v>
      </c>
      <c r="I105" s="2">
        <f t="shared" si="6"/>
        <v>3.6388852804623832E-2</v>
      </c>
      <c r="J105" s="2">
        <f t="shared" si="7"/>
        <v>40.059311135913347</v>
      </c>
    </row>
    <row r="106" spans="2:10" x14ac:dyDescent="0.2">
      <c r="B106">
        <v>215</v>
      </c>
      <c r="C106" s="2">
        <v>0.19075862445673022</v>
      </c>
      <c r="D106" s="80">
        <v>0.30237849801778793</v>
      </c>
      <c r="E106" s="2">
        <f t="shared" si="2"/>
        <v>0.33166931885323048</v>
      </c>
      <c r="F106" s="2">
        <f t="shared" si="3"/>
        <v>215</v>
      </c>
      <c r="G106" s="2">
        <f t="shared" si="4"/>
        <v>46225</v>
      </c>
      <c r="H106" s="2">
        <f t="shared" si="5"/>
        <v>0.19075862445673022</v>
      </c>
      <c r="I106" s="2">
        <f t="shared" si="6"/>
        <v>3.6388852804623832E-2</v>
      </c>
      <c r="J106" s="2">
        <f t="shared" si="7"/>
        <v>41.013104258196996</v>
      </c>
    </row>
    <row r="107" spans="2:10" x14ac:dyDescent="0.2">
      <c r="B107">
        <v>220</v>
      </c>
      <c r="C107" s="2">
        <v>0.19075862445673022</v>
      </c>
      <c r="D107" s="80">
        <v>0.28937753289937973</v>
      </c>
      <c r="E107" s="2">
        <f t="shared" si="2"/>
        <v>0.31310306332321503</v>
      </c>
      <c r="F107" s="2">
        <f t="shared" si="3"/>
        <v>220</v>
      </c>
      <c r="G107" s="2">
        <f t="shared" si="4"/>
        <v>48400</v>
      </c>
      <c r="H107" s="2">
        <f t="shared" si="5"/>
        <v>0.19075862445673022</v>
      </c>
      <c r="I107" s="2">
        <f t="shared" si="6"/>
        <v>3.6388852804623832E-2</v>
      </c>
      <c r="J107" s="2">
        <f t="shared" si="7"/>
        <v>41.966897380480653</v>
      </c>
    </row>
    <row r="108" spans="2:10" x14ac:dyDescent="0.2">
      <c r="B108">
        <v>225</v>
      </c>
      <c r="C108" s="2">
        <v>0.19075862445673022</v>
      </c>
      <c r="D108" s="80">
        <v>0.27770299464464188</v>
      </c>
      <c r="E108" s="2">
        <f t="shared" si="2"/>
        <v>0.29683498301850242</v>
      </c>
      <c r="F108" s="2">
        <f t="shared" si="3"/>
        <v>225</v>
      </c>
      <c r="G108" s="2">
        <f t="shared" si="4"/>
        <v>50625</v>
      </c>
      <c r="H108" s="2">
        <f t="shared" si="5"/>
        <v>0.19075862445673022</v>
      </c>
      <c r="I108" s="2">
        <f t="shared" si="6"/>
        <v>3.6388852804623832E-2</v>
      </c>
      <c r="J108" s="2">
        <f t="shared" si="7"/>
        <v>42.920690502764302</v>
      </c>
    </row>
    <row r="109" spans="2:10" x14ac:dyDescent="0.2">
      <c r="B109">
        <v>230</v>
      </c>
      <c r="C109" s="2">
        <v>0.19075862445673022</v>
      </c>
      <c r="D109" s="80">
        <v>0.26142973452806473</v>
      </c>
      <c r="E109" s="2">
        <f t="shared" si="2"/>
        <v>0.28286507793909488</v>
      </c>
      <c r="F109" s="2">
        <f t="shared" si="3"/>
        <v>230</v>
      </c>
      <c r="G109" s="2">
        <f t="shared" si="4"/>
        <v>52900</v>
      </c>
      <c r="H109" s="2">
        <f t="shared" si="5"/>
        <v>0.19075862445673022</v>
      </c>
      <c r="I109" s="2">
        <f t="shared" si="6"/>
        <v>3.6388852804623832E-2</v>
      </c>
      <c r="J109" s="2">
        <f t="shared" si="7"/>
        <v>43.874483625047951</v>
      </c>
    </row>
    <row r="110" spans="2:10" x14ac:dyDescent="0.2">
      <c r="B110">
        <v>235</v>
      </c>
      <c r="C110" s="2">
        <v>0.19075862445673022</v>
      </c>
      <c r="D110" s="80">
        <v>0.25127444416284561</v>
      </c>
      <c r="E110" s="2">
        <f t="shared" si="2"/>
        <v>0.27119334808499113</v>
      </c>
      <c r="F110" s="2">
        <f t="shared" si="3"/>
        <v>235</v>
      </c>
      <c r="G110" s="2">
        <f t="shared" si="4"/>
        <v>55225</v>
      </c>
      <c r="H110" s="2">
        <f t="shared" si="5"/>
        <v>0.19075862445673022</v>
      </c>
      <c r="I110" s="2">
        <f t="shared" si="6"/>
        <v>3.6388852804623832E-2</v>
      </c>
      <c r="J110" s="2">
        <f t="shared" si="7"/>
        <v>44.8282767473316</v>
      </c>
    </row>
    <row r="111" spans="2:10" x14ac:dyDescent="0.2">
      <c r="B111">
        <v>240</v>
      </c>
      <c r="C111" s="2">
        <v>0.19075862445673022</v>
      </c>
      <c r="D111" s="76">
        <v>0.24679217487573624</v>
      </c>
      <c r="E111" s="2">
        <f t="shared" si="2"/>
        <v>0.26181979345619061</v>
      </c>
      <c r="F111" s="2">
        <f t="shared" si="3"/>
        <v>240</v>
      </c>
      <c r="G111" s="2">
        <f t="shared" si="4"/>
        <v>57600</v>
      </c>
      <c r="H111" s="2">
        <f t="shared" si="5"/>
        <v>0.19075862445673022</v>
      </c>
      <c r="I111" s="2">
        <f t="shared" si="6"/>
        <v>3.6388852804623832E-2</v>
      </c>
      <c r="J111" s="2">
        <f t="shared" si="7"/>
        <v>45.782069869615256</v>
      </c>
    </row>
    <row r="112" spans="2:10" x14ac:dyDescent="0.2">
      <c r="B112">
        <v>245</v>
      </c>
      <c r="C112" s="2">
        <v>0.19075862445673022</v>
      </c>
      <c r="D112" s="76">
        <v>0.23920845240354538</v>
      </c>
      <c r="E112" s="2">
        <f t="shared" si="2"/>
        <v>0.25474441405269477</v>
      </c>
      <c r="F112" s="2">
        <f t="shared" si="3"/>
        <v>245</v>
      </c>
      <c r="G112" s="2">
        <f t="shared" si="4"/>
        <v>60025</v>
      </c>
      <c r="H112" s="2">
        <f t="shared" si="5"/>
        <v>0.19075862445673022</v>
      </c>
      <c r="I112" s="2">
        <f t="shared" si="6"/>
        <v>3.6388852804623832E-2</v>
      </c>
      <c r="J112" s="2">
        <f t="shared" si="7"/>
        <v>46.735862991898905</v>
      </c>
    </row>
    <row r="113" spans="2:10" x14ac:dyDescent="0.2">
      <c r="B113">
        <v>250</v>
      </c>
      <c r="C113" s="2">
        <v>0.19075862445673022</v>
      </c>
      <c r="D113" s="76">
        <v>0.23174572736024857</v>
      </c>
      <c r="E113" s="2">
        <f t="shared" si="2"/>
        <v>0.24996720987450305</v>
      </c>
      <c r="F113" s="2">
        <f t="shared" si="3"/>
        <v>250</v>
      </c>
      <c r="G113" s="2">
        <f t="shared" si="4"/>
        <v>62500</v>
      </c>
      <c r="H113" s="2">
        <f t="shared" si="5"/>
        <v>0.19075862445673022</v>
      </c>
      <c r="I113" s="2">
        <f t="shared" si="6"/>
        <v>3.6388852804623832E-2</v>
      </c>
      <c r="J113" s="2">
        <f t="shared" si="7"/>
        <v>47.689656114182554</v>
      </c>
    </row>
    <row r="114" spans="2:10" x14ac:dyDescent="0.2">
      <c r="B114">
        <v>255</v>
      </c>
      <c r="C114" s="2">
        <v>0.19075862445673022</v>
      </c>
      <c r="D114" s="76">
        <v>0.22329036146402359</v>
      </c>
      <c r="E114" s="2">
        <f t="shared" si="2"/>
        <v>0.24748818092161418</v>
      </c>
      <c r="F114" s="2">
        <f t="shared" si="3"/>
        <v>255</v>
      </c>
      <c r="G114" s="2">
        <f t="shared" si="4"/>
        <v>65025</v>
      </c>
      <c r="H114" s="2">
        <f t="shared" si="5"/>
        <v>0.19075862445673022</v>
      </c>
      <c r="I114" s="2">
        <f t="shared" si="6"/>
        <v>3.6388852804623832E-2</v>
      </c>
      <c r="J114" s="2">
        <f t="shared" si="7"/>
        <v>48.643449236466211</v>
      </c>
    </row>
    <row r="115" spans="2:10" x14ac:dyDescent="0.2">
      <c r="B115">
        <v>260</v>
      </c>
      <c r="C115" s="2">
        <v>0.19075862445673022</v>
      </c>
      <c r="D115" s="76">
        <v>0.21700154989957809</v>
      </c>
      <c r="E115" s="2">
        <f t="shared" si="2"/>
        <v>0.24730732719403037</v>
      </c>
      <c r="F115" s="2">
        <f t="shared" si="3"/>
        <v>260</v>
      </c>
      <c r="G115" s="2">
        <f t="shared" si="4"/>
        <v>67600</v>
      </c>
      <c r="H115" s="2">
        <f t="shared" si="5"/>
        <v>0.19075862445673022</v>
      </c>
      <c r="I115" s="2">
        <f t="shared" si="6"/>
        <v>3.6388852804623832E-2</v>
      </c>
      <c r="J115" s="2">
        <f t="shared" si="7"/>
        <v>49.59724235874986</v>
      </c>
    </row>
    <row r="116" spans="2:10" x14ac:dyDescent="0.2">
      <c r="B116">
        <v>265</v>
      </c>
      <c r="C116" s="2">
        <v>0.19075862445673022</v>
      </c>
      <c r="D116" s="76">
        <v>0.21223995834589005</v>
      </c>
      <c r="E116" s="2">
        <f t="shared" si="2"/>
        <v>0.24942464869175032</v>
      </c>
      <c r="F116" s="2">
        <f t="shared" si="3"/>
        <v>265</v>
      </c>
      <c r="G116" s="2">
        <f t="shared" si="4"/>
        <v>70225</v>
      </c>
      <c r="H116" s="2">
        <f t="shared" si="5"/>
        <v>0.19075862445673022</v>
      </c>
      <c r="I116" s="2">
        <f t="shared" si="6"/>
        <v>3.6388852804623832E-2</v>
      </c>
      <c r="J116" s="2">
        <f t="shared" si="7"/>
        <v>50.551035481033509</v>
      </c>
    </row>
    <row r="117" spans="2:10" x14ac:dyDescent="0.2">
      <c r="B117">
        <v>270</v>
      </c>
      <c r="C117" s="2">
        <v>0.19075862445673022</v>
      </c>
      <c r="D117" s="76">
        <v>0.22454772144556046</v>
      </c>
      <c r="E117" s="2">
        <f t="shared" ref="E117:E180" si="22">$Q$52+$P$52*F117+$O$52*G117+$N$52*H117+$M$52*I117+$L$52*J117</f>
        <v>0.25384014541477401</v>
      </c>
      <c r="F117" s="2">
        <f t="shared" ref="F117:F180" si="23">B117</f>
        <v>270</v>
      </c>
      <c r="G117" s="2">
        <f t="shared" ref="G117:G180" si="24">F117^2</f>
        <v>72900</v>
      </c>
      <c r="H117" s="2">
        <f t="shared" ref="H117:H180" si="25">C117</f>
        <v>0.19075862445673022</v>
      </c>
      <c r="I117" s="2">
        <f t="shared" ref="I117:I180" si="26">H117^2</f>
        <v>3.6388852804623832E-2</v>
      </c>
      <c r="J117" s="2">
        <f t="shared" ref="J117:J180" si="27">F117*H117</f>
        <v>51.504828603317158</v>
      </c>
    </row>
    <row r="118" spans="2:10" x14ac:dyDescent="0.2">
      <c r="B118">
        <v>275</v>
      </c>
      <c r="C118" s="2">
        <v>0.19075862445673022</v>
      </c>
      <c r="D118" s="76">
        <v>0.3136814758181572</v>
      </c>
      <c r="E118" s="2">
        <f t="shared" si="22"/>
        <v>0.26055381736310096</v>
      </c>
      <c r="F118" s="2">
        <f t="shared" si="23"/>
        <v>275</v>
      </c>
      <c r="G118" s="2">
        <f t="shared" si="24"/>
        <v>75625</v>
      </c>
      <c r="H118" s="2">
        <f t="shared" si="25"/>
        <v>0.19075862445673022</v>
      </c>
      <c r="I118" s="2">
        <f t="shared" si="26"/>
        <v>3.6388852804623832E-2</v>
      </c>
      <c r="J118" s="2">
        <f t="shared" si="27"/>
        <v>52.458621725600814</v>
      </c>
    </row>
    <row r="119" spans="2:10" x14ac:dyDescent="0.2">
      <c r="B119">
        <v>280</v>
      </c>
      <c r="C119" s="2">
        <v>0.19075862445673022</v>
      </c>
      <c r="D119" s="76">
        <v>0.20262595266103745</v>
      </c>
      <c r="E119" s="2">
        <f t="shared" si="22"/>
        <v>0.26956566453673303</v>
      </c>
      <c r="F119" s="2">
        <f t="shared" si="23"/>
        <v>280</v>
      </c>
      <c r="G119" s="2">
        <f t="shared" si="24"/>
        <v>78400</v>
      </c>
      <c r="H119" s="2">
        <f t="shared" si="25"/>
        <v>0.19075862445673022</v>
      </c>
      <c r="I119" s="2">
        <f t="shared" si="26"/>
        <v>3.6388852804623832E-2</v>
      </c>
      <c r="J119" s="2">
        <f t="shared" si="27"/>
        <v>53.412414847884463</v>
      </c>
    </row>
    <row r="120" spans="2:10" x14ac:dyDescent="0.2">
      <c r="B120">
        <v>200</v>
      </c>
      <c r="C120">
        <v>0.27012187322844983</v>
      </c>
      <c r="D120">
        <v>0.32926294952630997</v>
      </c>
      <c r="E120" s="2">
        <f t="shared" si="22"/>
        <v>0.38573966871199883</v>
      </c>
      <c r="F120" s="2">
        <f t="shared" si="23"/>
        <v>200</v>
      </c>
      <c r="G120" s="2">
        <f t="shared" si="24"/>
        <v>40000</v>
      </c>
      <c r="H120" s="2">
        <f t="shared" si="25"/>
        <v>0.27012187322844983</v>
      </c>
      <c r="I120" s="2">
        <f t="shared" si="26"/>
        <v>7.296582639644672E-2</v>
      </c>
      <c r="J120" s="2">
        <f t="shared" si="27"/>
        <v>54.024374645689967</v>
      </c>
    </row>
    <row r="121" spans="2:10" x14ac:dyDescent="0.2">
      <c r="B121">
        <v>205</v>
      </c>
      <c r="C121" s="2">
        <v>0.27012187322844983</v>
      </c>
      <c r="D121">
        <v>0.31792405992746353</v>
      </c>
      <c r="E121" s="2">
        <f t="shared" si="22"/>
        <v>0.36100005475108748</v>
      </c>
      <c r="F121" s="2">
        <f t="shared" si="23"/>
        <v>205</v>
      </c>
      <c r="G121" s="2">
        <f t="shared" si="24"/>
        <v>42025</v>
      </c>
      <c r="H121" s="2">
        <f t="shared" si="25"/>
        <v>0.27012187322844983</v>
      </c>
      <c r="I121" s="2">
        <f t="shared" si="26"/>
        <v>7.296582639644672E-2</v>
      </c>
      <c r="J121" s="2">
        <f t="shared" si="27"/>
        <v>55.374984011832211</v>
      </c>
    </row>
    <row r="122" spans="2:10" x14ac:dyDescent="0.2">
      <c r="B122">
        <v>210</v>
      </c>
      <c r="C122" s="2">
        <v>0.27012187322844983</v>
      </c>
      <c r="D122">
        <v>0.30440736562013626</v>
      </c>
      <c r="E122" s="2">
        <f t="shared" si="22"/>
        <v>0.3385586160154791</v>
      </c>
      <c r="F122" s="2">
        <f t="shared" si="23"/>
        <v>210</v>
      </c>
      <c r="G122" s="2">
        <f t="shared" si="24"/>
        <v>44100</v>
      </c>
      <c r="H122" s="2">
        <f t="shared" si="25"/>
        <v>0.27012187322844983</v>
      </c>
      <c r="I122" s="2">
        <f t="shared" si="26"/>
        <v>7.296582639644672E-2</v>
      </c>
      <c r="J122" s="2">
        <f t="shared" si="27"/>
        <v>56.725593377974462</v>
      </c>
    </row>
    <row r="123" spans="2:10" x14ac:dyDescent="0.2">
      <c r="B123">
        <v>215</v>
      </c>
      <c r="C123" s="2">
        <v>0.27012187322844983</v>
      </c>
      <c r="D123">
        <v>0.29284324496984482</v>
      </c>
      <c r="E123" s="2">
        <f t="shared" si="22"/>
        <v>0.31841535250517589</v>
      </c>
      <c r="F123" s="2">
        <f t="shared" si="23"/>
        <v>215</v>
      </c>
      <c r="G123" s="2">
        <f t="shared" si="24"/>
        <v>46225</v>
      </c>
      <c r="H123" s="2">
        <f t="shared" si="25"/>
        <v>0.27012187322844983</v>
      </c>
      <c r="I123" s="2">
        <f t="shared" si="26"/>
        <v>7.296582639644672E-2</v>
      </c>
      <c r="J123" s="2">
        <f t="shared" si="27"/>
        <v>58.076202744116713</v>
      </c>
    </row>
    <row r="124" spans="2:10" x14ac:dyDescent="0.2">
      <c r="B124">
        <v>220</v>
      </c>
      <c r="C124" s="2">
        <v>0.27012187322844983</v>
      </c>
      <c r="D124">
        <v>0.27705978602170944</v>
      </c>
      <c r="E124" s="2">
        <f t="shared" si="22"/>
        <v>0.30057026422017641</v>
      </c>
      <c r="F124" s="2">
        <f t="shared" si="23"/>
        <v>220</v>
      </c>
      <c r="G124" s="2">
        <f t="shared" si="24"/>
        <v>48400</v>
      </c>
      <c r="H124" s="2">
        <f t="shared" si="25"/>
        <v>0.27012187322844983</v>
      </c>
      <c r="I124" s="2">
        <f t="shared" si="26"/>
        <v>7.296582639644672E-2</v>
      </c>
      <c r="J124" s="2">
        <f t="shared" si="27"/>
        <v>59.426812110258965</v>
      </c>
    </row>
    <row r="125" spans="2:10" x14ac:dyDescent="0.2">
      <c r="B125">
        <v>225</v>
      </c>
      <c r="C125" s="2">
        <v>0.27012187322844983</v>
      </c>
      <c r="D125">
        <v>0.26808369904756546</v>
      </c>
      <c r="E125" s="2">
        <f t="shared" si="22"/>
        <v>0.28502335116047983</v>
      </c>
      <c r="F125" s="2">
        <f t="shared" si="23"/>
        <v>225</v>
      </c>
      <c r="G125" s="2">
        <f t="shared" si="24"/>
        <v>50625</v>
      </c>
      <c r="H125" s="2">
        <f t="shared" si="25"/>
        <v>0.27012187322844983</v>
      </c>
      <c r="I125" s="2">
        <f t="shared" si="26"/>
        <v>7.296582639644672E-2</v>
      </c>
      <c r="J125" s="2">
        <f t="shared" si="27"/>
        <v>60.777421476401209</v>
      </c>
    </row>
    <row r="126" spans="2:10" x14ac:dyDescent="0.2">
      <c r="B126">
        <v>230</v>
      </c>
      <c r="C126" s="2">
        <v>0.27012187322844983</v>
      </c>
      <c r="D126">
        <v>0.25971915572881699</v>
      </c>
      <c r="E126" s="2">
        <f t="shared" si="22"/>
        <v>0.27177461332608827</v>
      </c>
      <c r="F126" s="2">
        <f t="shared" si="23"/>
        <v>230</v>
      </c>
      <c r="G126" s="2">
        <f t="shared" si="24"/>
        <v>52900</v>
      </c>
      <c r="H126" s="2">
        <f t="shared" si="25"/>
        <v>0.27012187322844983</v>
      </c>
      <c r="I126" s="2">
        <f t="shared" si="26"/>
        <v>7.296582639644672E-2</v>
      </c>
      <c r="J126" s="2">
        <f t="shared" si="27"/>
        <v>62.12803084254346</v>
      </c>
    </row>
    <row r="127" spans="2:10" x14ac:dyDescent="0.2">
      <c r="B127">
        <v>235</v>
      </c>
      <c r="C127" s="2">
        <v>0.27012187322844983</v>
      </c>
      <c r="D127">
        <v>0.25326963514089584</v>
      </c>
      <c r="E127" s="2">
        <f t="shared" si="22"/>
        <v>0.26082405071700043</v>
      </c>
      <c r="F127" s="2">
        <f t="shared" si="23"/>
        <v>235</v>
      </c>
      <c r="G127" s="2">
        <f t="shared" si="24"/>
        <v>55225</v>
      </c>
      <c r="H127" s="2">
        <f t="shared" si="25"/>
        <v>0.27012187322844983</v>
      </c>
      <c r="I127" s="2">
        <f t="shared" si="26"/>
        <v>7.296582639644672E-2</v>
      </c>
      <c r="J127" s="2">
        <f t="shared" si="27"/>
        <v>63.478640208685711</v>
      </c>
    </row>
    <row r="128" spans="2:10" x14ac:dyDescent="0.2">
      <c r="B128">
        <v>240</v>
      </c>
      <c r="C128" s="2">
        <v>0.27012187322844983</v>
      </c>
      <c r="D128">
        <v>0.24152148514986038</v>
      </c>
      <c r="E128" s="2">
        <f t="shared" si="22"/>
        <v>0.25217166333321595</v>
      </c>
      <c r="F128" s="2">
        <f t="shared" si="23"/>
        <v>240</v>
      </c>
      <c r="G128" s="2">
        <f t="shared" si="24"/>
        <v>57600</v>
      </c>
      <c r="H128" s="2">
        <f t="shared" si="25"/>
        <v>0.27012187322844983</v>
      </c>
      <c r="I128" s="2">
        <f t="shared" si="26"/>
        <v>7.296582639644672E-2</v>
      </c>
      <c r="J128" s="2">
        <f t="shared" si="27"/>
        <v>64.829249574827955</v>
      </c>
    </row>
    <row r="129" spans="2:10" x14ac:dyDescent="0.2">
      <c r="B129">
        <v>245</v>
      </c>
      <c r="C129" s="2">
        <v>0.27012187322844983</v>
      </c>
      <c r="D129">
        <v>0.23467626422643661</v>
      </c>
      <c r="E129" s="2">
        <f t="shared" si="22"/>
        <v>0.24581745117473602</v>
      </c>
      <c r="F129" s="2">
        <f t="shared" si="23"/>
        <v>245</v>
      </c>
      <c r="G129" s="2">
        <f t="shared" si="24"/>
        <v>60025</v>
      </c>
      <c r="H129" s="2">
        <f t="shared" si="25"/>
        <v>0.27012187322844983</v>
      </c>
      <c r="I129" s="2">
        <f t="shared" si="26"/>
        <v>7.296582639644672E-2</v>
      </c>
      <c r="J129" s="2">
        <f t="shared" si="27"/>
        <v>66.179858940970206</v>
      </c>
    </row>
    <row r="130" spans="2:10" x14ac:dyDescent="0.2">
      <c r="B130">
        <v>250</v>
      </c>
      <c r="C130" s="2">
        <v>0.27012187322844983</v>
      </c>
      <c r="D130">
        <v>0.22911969572305679</v>
      </c>
      <c r="E130" s="2">
        <f t="shared" si="22"/>
        <v>0.24176141424156031</v>
      </c>
      <c r="F130" s="2">
        <f t="shared" si="23"/>
        <v>250</v>
      </c>
      <c r="G130" s="2">
        <f t="shared" si="24"/>
        <v>62500</v>
      </c>
      <c r="H130" s="2">
        <f t="shared" si="25"/>
        <v>0.27012187322844983</v>
      </c>
      <c r="I130" s="2">
        <f t="shared" si="26"/>
        <v>7.296582639644672E-2</v>
      </c>
      <c r="J130" s="2">
        <f t="shared" si="27"/>
        <v>67.530468307112457</v>
      </c>
    </row>
    <row r="131" spans="2:10" x14ac:dyDescent="0.2">
      <c r="B131">
        <v>255</v>
      </c>
      <c r="C131" s="2">
        <v>0.27012187322844983</v>
      </c>
      <c r="D131">
        <v>0.22710729390382767</v>
      </c>
      <c r="E131" s="2">
        <f t="shared" si="22"/>
        <v>0.24000355253368744</v>
      </c>
      <c r="F131" s="2">
        <f t="shared" si="23"/>
        <v>255</v>
      </c>
      <c r="G131" s="2">
        <f t="shared" si="24"/>
        <v>65025</v>
      </c>
      <c r="H131" s="2">
        <f t="shared" si="25"/>
        <v>0.27012187322844983</v>
      </c>
      <c r="I131" s="2">
        <f t="shared" si="26"/>
        <v>7.296582639644672E-2</v>
      </c>
      <c r="J131" s="2">
        <f t="shared" si="27"/>
        <v>68.881077673254708</v>
      </c>
    </row>
    <row r="132" spans="2:10" x14ac:dyDescent="0.2">
      <c r="B132">
        <v>260</v>
      </c>
      <c r="C132" s="2">
        <v>0.27012187322844983</v>
      </c>
      <c r="D132">
        <v>0.22591289132833481</v>
      </c>
      <c r="E132" s="2">
        <f t="shared" si="22"/>
        <v>0.24054386605111963</v>
      </c>
      <c r="F132" s="2">
        <f t="shared" si="23"/>
        <v>260</v>
      </c>
      <c r="G132" s="2">
        <f t="shared" si="24"/>
        <v>67600</v>
      </c>
      <c r="H132" s="2">
        <f t="shared" si="25"/>
        <v>0.27012187322844983</v>
      </c>
      <c r="I132" s="2">
        <f t="shared" si="26"/>
        <v>7.296582639644672E-2</v>
      </c>
      <c r="J132" s="2">
        <f t="shared" si="27"/>
        <v>70.231687039396959</v>
      </c>
    </row>
    <row r="133" spans="2:10" x14ac:dyDescent="0.2">
      <c r="B133">
        <v>265</v>
      </c>
      <c r="C133" s="2">
        <v>0.27012187322844983</v>
      </c>
      <c r="D133">
        <v>0.22177617996931076</v>
      </c>
      <c r="E133" s="2">
        <f t="shared" si="22"/>
        <v>0.24338235479385553</v>
      </c>
      <c r="F133" s="2">
        <f t="shared" si="23"/>
        <v>265</v>
      </c>
      <c r="G133" s="2">
        <f t="shared" si="24"/>
        <v>70225</v>
      </c>
      <c r="H133" s="2">
        <f t="shared" si="25"/>
        <v>0.27012187322844983</v>
      </c>
      <c r="I133" s="2">
        <f t="shared" si="26"/>
        <v>7.296582639644672E-2</v>
      </c>
      <c r="J133" s="2">
        <f t="shared" si="27"/>
        <v>71.582296405539211</v>
      </c>
    </row>
    <row r="134" spans="2:10" x14ac:dyDescent="0.2">
      <c r="B134">
        <v>270</v>
      </c>
      <c r="C134" s="2">
        <v>0.27012187322844983</v>
      </c>
      <c r="D134">
        <v>0.25387059897184372</v>
      </c>
      <c r="E134" s="2">
        <f t="shared" si="22"/>
        <v>0.24851901876189517</v>
      </c>
      <c r="F134" s="2">
        <f t="shared" si="23"/>
        <v>270</v>
      </c>
      <c r="G134" s="2">
        <f t="shared" si="24"/>
        <v>72900</v>
      </c>
      <c r="H134" s="2">
        <f t="shared" si="25"/>
        <v>0.27012187322844983</v>
      </c>
      <c r="I134" s="2">
        <f t="shared" si="26"/>
        <v>7.296582639644672E-2</v>
      </c>
      <c r="J134" s="2">
        <f t="shared" si="27"/>
        <v>72.932905771681448</v>
      </c>
    </row>
    <row r="135" spans="2:10" x14ac:dyDescent="0.2">
      <c r="B135">
        <v>275</v>
      </c>
      <c r="C135" s="2">
        <v>0.27012187322844983</v>
      </c>
      <c r="D135">
        <v>0.2244408056139946</v>
      </c>
      <c r="E135" s="2">
        <f t="shared" si="22"/>
        <v>0.25595385795523812</v>
      </c>
      <c r="F135" s="2">
        <f t="shared" si="23"/>
        <v>275</v>
      </c>
      <c r="G135" s="2">
        <f t="shared" si="24"/>
        <v>75625</v>
      </c>
      <c r="H135" s="2">
        <f t="shared" si="25"/>
        <v>0.27012187322844983</v>
      </c>
      <c r="I135" s="2">
        <f t="shared" si="26"/>
        <v>7.296582639644672E-2</v>
      </c>
      <c r="J135" s="2">
        <f t="shared" si="27"/>
        <v>74.283515137823699</v>
      </c>
    </row>
    <row r="136" spans="2:10" x14ac:dyDescent="0.2">
      <c r="B136">
        <v>280</v>
      </c>
      <c r="C136" s="2">
        <v>0.27012187322844983</v>
      </c>
      <c r="D136">
        <v>0.23460600525140762</v>
      </c>
      <c r="E136" s="2">
        <f t="shared" si="22"/>
        <v>0.26568687237388611</v>
      </c>
      <c r="F136" s="2">
        <f t="shared" si="23"/>
        <v>280</v>
      </c>
      <c r="G136" s="2">
        <f t="shared" si="24"/>
        <v>78400</v>
      </c>
      <c r="H136" s="2">
        <f t="shared" si="25"/>
        <v>0.27012187322844983</v>
      </c>
      <c r="I136" s="2">
        <f t="shared" si="26"/>
        <v>7.296582639644672E-2</v>
      </c>
      <c r="J136" s="2">
        <f t="shared" si="27"/>
        <v>75.63412450396595</v>
      </c>
    </row>
    <row r="137" spans="2:10" x14ac:dyDescent="0.2">
      <c r="B137">
        <v>200</v>
      </c>
      <c r="C137">
        <v>0.44869198593789111</v>
      </c>
      <c r="D137">
        <v>0.31002003699541092</v>
      </c>
      <c r="E137" s="2">
        <f t="shared" si="22"/>
        <v>0.35726513700833595</v>
      </c>
      <c r="F137" s="2">
        <f t="shared" si="23"/>
        <v>200</v>
      </c>
      <c r="G137" s="2">
        <f t="shared" si="24"/>
        <v>40000</v>
      </c>
      <c r="H137" s="2">
        <f t="shared" si="25"/>
        <v>0.44869198593789111</v>
      </c>
      <c r="I137" s="2">
        <f t="shared" si="26"/>
        <v>0.20132449824488868</v>
      </c>
      <c r="J137" s="2">
        <f t="shared" si="27"/>
        <v>89.738397187578229</v>
      </c>
    </row>
    <row r="138" spans="2:10" x14ac:dyDescent="0.2">
      <c r="B138">
        <v>205</v>
      </c>
      <c r="C138" s="2">
        <v>0.44869198593789111</v>
      </c>
      <c r="D138">
        <v>0.30105996876955032</v>
      </c>
      <c r="E138" s="2">
        <f t="shared" si="22"/>
        <v>0.33414817481909387</v>
      </c>
      <c r="F138" s="2">
        <f t="shared" si="23"/>
        <v>205</v>
      </c>
      <c r="G138" s="2">
        <f t="shared" si="24"/>
        <v>42025</v>
      </c>
      <c r="H138" s="2">
        <f t="shared" si="25"/>
        <v>0.44869198593789111</v>
      </c>
      <c r="I138" s="2">
        <f t="shared" si="26"/>
        <v>0.20132449824488868</v>
      </c>
      <c r="J138" s="2">
        <f t="shared" si="27"/>
        <v>91.98185711726768</v>
      </c>
    </row>
    <row r="139" spans="2:10" x14ac:dyDescent="0.2">
      <c r="B139">
        <v>210</v>
      </c>
      <c r="C139" s="2">
        <v>0.44869198593789111</v>
      </c>
      <c r="D139">
        <v>0.29303122311830521</v>
      </c>
      <c r="E139" s="2">
        <f t="shared" si="22"/>
        <v>0.31332938785515463</v>
      </c>
      <c r="F139" s="2">
        <f t="shared" si="23"/>
        <v>210</v>
      </c>
      <c r="G139" s="2">
        <f t="shared" si="24"/>
        <v>44100</v>
      </c>
      <c r="H139" s="2">
        <f t="shared" si="25"/>
        <v>0.44869198593789111</v>
      </c>
      <c r="I139" s="2">
        <f t="shared" si="26"/>
        <v>0.20132449824488868</v>
      </c>
      <c r="J139" s="2">
        <f t="shared" si="27"/>
        <v>94.22531704695713</v>
      </c>
    </row>
    <row r="140" spans="2:10" x14ac:dyDescent="0.2">
      <c r="B140">
        <v>215</v>
      </c>
      <c r="C140" s="2">
        <v>0.44869198593789111</v>
      </c>
      <c r="D140">
        <v>0.28493557125329971</v>
      </c>
      <c r="E140" s="2">
        <f t="shared" si="22"/>
        <v>0.29480877611652073</v>
      </c>
      <c r="F140" s="2">
        <f t="shared" si="23"/>
        <v>215</v>
      </c>
      <c r="G140" s="2">
        <f t="shared" si="24"/>
        <v>46225</v>
      </c>
      <c r="H140" s="2">
        <f t="shared" si="25"/>
        <v>0.44869198593789111</v>
      </c>
      <c r="I140" s="2">
        <f t="shared" si="26"/>
        <v>0.20132449824488868</v>
      </c>
      <c r="J140" s="2">
        <f t="shared" si="27"/>
        <v>96.468776976646595</v>
      </c>
    </row>
    <row r="141" spans="2:10" x14ac:dyDescent="0.2">
      <c r="B141">
        <v>220</v>
      </c>
      <c r="C141" s="2">
        <v>0.44869198593789111</v>
      </c>
      <c r="D141">
        <v>0.27802880853414536</v>
      </c>
      <c r="E141" s="2">
        <f t="shared" si="22"/>
        <v>0.27858633960319057</v>
      </c>
      <c r="F141" s="2">
        <f t="shared" si="23"/>
        <v>220</v>
      </c>
      <c r="G141" s="2">
        <f t="shared" si="24"/>
        <v>48400</v>
      </c>
      <c r="H141" s="2">
        <f t="shared" si="25"/>
        <v>0.44869198593789111</v>
      </c>
      <c r="I141" s="2">
        <f t="shared" si="26"/>
        <v>0.20132449824488868</v>
      </c>
      <c r="J141" s="2">
        <f t="shared" si="27"/>
        <v>98.712236906336045</v>
      </c>
    </row>
    <row r="142" spans="2:10" x14ac:dyDescent="0.2">
      <c r="B142">
        <v>225</v>
      </c>
      <c r="C142" s="2">
        <v>0.44869198593789111</v>
      </c>
      <c r="D142">
        <v>0.2705494686961174</v>
      </c>
      <c r="E142" s="2">
        <f t="shared" si="22"/>
        <v>0.2646620783151632</v>
      </c>
      <c r="F142" s="2">
        <f t="shared" si="23"/>
        <v>225</v>
      </c>
      <c r="G142" s="2">
        <f t="shared" si="24"/>
        <v>50625</v>
      </c>
      <c r="H142" s="2">
        <f t="shared" si="25"/>
        <v>0.44869198593789111</v>
      </c>
      <c r="I142" s="2">
        <f t="shared" si="26"/>
        <v>0.20132449824488868</v>
      </c>
      <c r="J142" s="2">
        <f t="shared" si="27"/>
        <v>100.9556968360255</v>
      </c>
    </row>
    <row r="143" spans="2:10" x14ac:dyDescent="0.2">
      <c r="B143">
        <v>230</v>
      </c>
      <c r="C143" s="2">
        <v>0.44869198593789111</v>
      </c>
      <c r="D143">
        <v>0.26527490466833115</v>
      </c>
      <c r="E143" s="2">
        <f t="shared" si="22"/>
        <v>0.25303599225244094</v>
      </c>
      <c r="F143" s="2">
        <f t="shared" si="23"/>
        <v>230</v>
      </c>
      <c r="G143" s="2">
        <f t="shared" si="24"/>
        <v>52900</v>
      </c>
      <c r="H143" s="2">
        <f t="shared" si="25"/>
        <v>0.44869198593789111</v>
      </c>
      <c r="I143" s="2">
        <f t="shared" si="26"/>
        <v>0.20132449824488868</v>
      </c>
      <c r="J143" s="2">
        <f t="shared" si="27"/>
        <v>103.19915676571496</v>
      </c>
    </row>
    <row r="144" spans="2:10" x14ac:dyDescent="0.2">
      <c r="B144">
        <v>235</v>
      </c>
      <c r="C144" s="2">
        <v>0.44869198593789111</v>
      </c>
      <c r="D144">
        <v>0.257384292781353</v>
      </c>
      <c r="E144" s="2">
        <f t="shared" si="22"/>
        <v>0.24370808141502243</v>
      </c>
      <c r="F144" s="2">
        <f t="shared" si="23"/>
        <v>235</v>
      </c>
      <c r="G144" s="2">
        <f t="shared" si="24"/>
        <v>55225</v>
      </c>
      <c r="H144" s="2">
        <f t="shared" si="25"/>
        <v>0.44869198593789111</v>
      </c>
      <c r="I144" s="2">
        <f t="shared" si="26"/>
        <v>0.20132449824488868</v>
      </c>
      <c r="J144" s="2">
        <f t="shared" si="27"/>
        <v>105.44261669540441</v>
      </c>
    </row>
    <row r="145" spans="2:10" x14ac:dyDescent="0.2">
      <c r="B145">
        <v>240</v>
      </c>
      <c r="C145" s="2">
        <v>0.44869198593789111</v>
      </c>
      <c r="D145">
        <v>0.25789696723222733</v>
      </c>
      <c r="E145" s="2">
        <f t="shared" si="22"/>
        <v>0.23667834580290714</v>
      </c>
      <c r="F145" s="2">
        <f t="shared" si="23"/>
        <v>240</v>
      </c>
      <c r="G145" s="2">
        <f t="shared" si="24"/>
        <v>57600</v>
      </c>
      <c r="H145" s="2">
        <f t="shared" si="25"/>
        <v>0.44869198593789111</v>
      </c>
      <c r="I145" s="2">
        <f t="shared" si="26"/>
        <v>0.20132449824488868</v>
      </c>
      <c r="J145" s="2">
        <f t="shared" si="27"/>
        <v>107.68607662509386</v>
      </c>
    </row>
    <row r="146" spans="2:10" x14ac:dyDescent="0.2">
      <c r="B146">
        <v>245</v>
      </c>
      <c r="C146" s="2">
        <v>0.44869198593789111</v>
      </c>
      <c r="D146">
        <v>0.25059130042791367</v>
      </c>
      <c r="E146" s="2">
        <f t="shared" si="22"/>
        <v>0.23194678541609653</v>
      </c>
      <c r="F146" s="2">
        <f t="shared" si="23"/>
        <v>245</v>
      </c>
      <c r="G146" s="2">
        <f t="shared" si="24"/>
        <v>60025</v>
      </c>
      <c r="H146" s="2">
        <f t="shared" si="25"/>
        <v>0.44869198593789111</v>
      </c>
      <c r="I146" s="2">
        <f t="shared" si="26"/>
        <v>0.20132449824488868</v>
      </c>
      <c r="J146" s="2">
        <f t="shared" si="27"/>
        <v>109.92953655478333</v>
      </c>
    </row>
    <row r="147" spans="2:10" x14ac:dyDescent="0.2">
      <c r="B147">
        <v>250</v>
      </c>
      <c r="C147" s="2">
        <v>0.44869198593789111</v>
      </c>
      <c r="D147">
        <v>0.24336021393537521</v>
      </c>
      <c r="E147" s="2">
        <f t="shared" si="22"/>
        <v>0.22951340025459011</v>
      </c>
      <c r="F147" s="2">
        <f t="shared" si="23"/>
        <v>250</v>
      </c>
      <c r="G147" s="2">
        <f t="shared" si="24"/>
        <v>62500</v>
      </c>
      <c r="H147" s="2">
        <f t="shared" si="25"/>
        <v>0.44869198593789111</v>
      </c>
      <c r="I147" s="2">
        <f t="shared" si="26"/>
        <v>0.20132449824488868</v>
      </c>
      <c r="J147" s="2">
        <f t="shared" si="27"/>
        <v>112.17299648447278</v>
      </c>
    </row>
    <row r="148" spans="2:10" x14ac:dyDescent="0.2">
      <c r="B148">
        <v>255</v>
      </c>
      <c r="C148" s="2">
        <v>0.44869198593789111</v>
      </c>
      <c r="D148">
        <v>0.24439681321382523</v>
      </c>
      <c r="E148" s="2">
        <f t="shared" si="22"/>
        <v>0.22937819031838649</v>
      </c>
      <c r="F148" s="2">
        <f t="shared" si="23"/>
        <v>255</v>
      </c>
      <c r="G148" s="2">
        <f t="shared" si="24"/>
        <v>65025</v>
      </c>
      <c r="H148" s="2">
        <f t="shared" si="25"/>
        <v>0.44869198593789111</v>
      </c>
      <c r="I148" s="2">
        <f t="shared" si="26"/>
        <v>0.20132449824488868</v>
      </c>
      <c r="J148" s="2">
        <f t="shared" si="27"/>
        <v>114.41645641416224</v>
      </c>
    </row>
    <row r="149" spans="2:10" x14ac:dyDescent="0.2">
      <c r="B149">
        <v>260</v>
      </c>
      <c r="C149" s="2">
        <v>0.44869198593789111</v>
      </c>
      <c r="D149">
        <v>0.24724904447793961</v>
      </c>
      <c r="E149" s="2">
        <f t="shared" si="22"/>
        <v>0.23154115560748795</v>
      </c>
      <c r="F149" s="2">
        <f t="shared" si="23"/>
        <v>260</v>
      </c>
      <c r="G149" s="2">
        <f t="shared" si="24"/>
        <v>67600</v>
      </c>
      <c r="H149" s="2">
        <f t="shared" si="25"/>
        <v>0.44869198593789111</v>
      </c>
      <c r="I149" s="2">
        <f t="shared" si="26"/>
        <v>0.20132449824488868</v>
      </c>
      <c r="J149" s="2">
        <f t="shared" si="27"/>
        <v>116.65991634385169</v>
      </c>
    </row>
    <row r="150" spans="2:10" x14ac:dyDescent="0.2">
      <c r="B150">
        <v>265</v>
      </c>
      <c r="C150" s="2">
        <v>0.44869198593789111</v>
      </c>
      <c r="D150">
        <v>0.24601276963949203</v>
      </c>
      <c r="E150" s="2">
        <f t="shared" si="22"/>
        <v>0.23600229612189313</v>
      </c>
      <c r="F150" s="2">
        <f t="shared" si="23"/>
        <v>265</v>
      </c>
      <c r="G150" s="2">
        <f t="shared" si="24"/>
        <v>70225</v>
      </c>
      <c r="H150" s="2">
        <f t="shared" si="25"/>
        <v>0.44869198593789111</v>
      </c>
      <c r="I150" s="2">
        <f t="shared" si="26"/>
        <v>0.20132449824488868</v>
      </c>
      <c r="J150" s="2">
        <f t="shared" si="27"/>
        <v>118.90337627354114</v>
      </c>
    </row>
    <row r="151" spans="2:10" x14ac:dyDescent="0.2">
      <c r="B151">
        <v>270</v>
      </c>
      <c r="C151" s="2">
        <v>0.44869198593789111</v>
      </c>
      <c r="D151">
        <v>0.28648365288972855</v>
      </c>
      <c r="E151" s="2">
        <f t="shared" si="22"/>
        <v>0.24276161186160208</v>
      </c>
      <c r="F151" s="2">
        <f t="shared" si="23"/>
        <v>270</v>
      </c>
      <c r="G151" s="2">
        <f t="shared" si="24"/>
        <v>72900</v>
      </c>
      <c r="H151" s="2">
        <f t="shared" si="25"/>
        <v>0.44869198593789111</v>
      </c>
      <c r="I151" s="2">
        <f t="shared" si="26"/>
        <v>0.20132449824488868</v>
      </c>
      <c r="J151" s="2">
        <f t="shared" si="27"/>
        <v>121.14683620323061</v>
      </c>
    </row>
    <row r="152" spans="2:10" x14ac:dyDescent="0.2">
      <c r="B152">
        <v>275</v>
      </c>
      <c r="C152" s="2">
        <v>0.44869198593789111</v>
      </c>
      <c r="D152">
        <v>0.43830309063196182</v>
      </c>
      <c r="E152" s="2">
        <f t="shared" si="22"/>
        <v>0.25181910282661429</v>
      </c>
      <c r="F152" s="2">
        <f t="shared" si="23"/>
        <v>275</v>
      </c>
      <c r="G152" s="2">
        <f t="shared" si="24"/>
        <v>75625</v>
      </c>
      <c r="H152" s="2">
        <f t="shared" si="25"/>
        <v>0.44869198593789111</v>
      </c>
      <c r="I152" s="2">
        <f t="shared" si="26"/>
        <v>0.20132449824488868</v>
      </c>
      <c r="J152" s="2">
        <f t="shared" si="27"/>
        <v>123.39029613292006</v>
      </c>
    </row>
    <row r="153" spans="2:10" x14ac:dyDescent="0.2">
      <c r="B153">
        <v>280</v>
      </c>
      <c r="C153" s="2">
        <v>0.44869198593789111</v>
      </c>
      <c r="D153">
        <v>0.25825884193181992</v>
      </c>
      <c r="E153" s="2">
        <f t="shared" si="22"/>
        <v>0.26317476901693154</v>
      </c>
      <c r="F153" s="2">
        <f t="shared" si="23"/>
        <v>280</v>
      </c>
      <c r="G153" s="2">
        <f t="shared" si="24"/>
        <v>78400</v>
      </c>
      <c r="H153" s="2">
        <f t="shared" si="25"/>
        <v>0.44869198593789111</v>
      </c>
      <c r="I153" s="2">
        <f t="shared" si="26"/>
        <v>0.20132449824488868</v>
      </c>
      <c r="J153" s="2">
        <f t="shared" si="27"/>
        <v>125.63375606260951</v>
      </c>
    </row>
    <row r="154" spans="2:10" x14ac:dyDescent="0.2">
      <c r="B154">
        <v>200</v>
      </c>
      <c r="C154">
        <v>0.80583364269705582</v>
      </c>
      <c r="D154">
        <v>0.29989141970872879</v>
      </c>
      <c r="E154" s="2">
        <f t="shared" si="22"/>
        <v>0.32613360897570665</v>
      </c>
      <c r="F154" s="2">
        <f t="shared" si="23"/>
        <v>200</v>
      </c>
      <c r="G154" s="2">
        <f t="shared" si="24"/>
        <v>40000</v>
      </c>
      <c r="H154" s="2">
        <f t="shared" si="25"/>
        <v>0.80583364269705582</v>
      </c>
      <c r="I154" s="2">
        <f t="shared" si="26"/>
        <v>0.64936785970240618</v>
      </c>
      <c r="J154" s="2">
        <f t="shared" si="27"/>
        <v>161.16672853941117</v>
      </c>
    </row>
    <row r="155" spans="2:10" x14ac:dyDescent="0.2">
      <c r="B155">
        <v>205</v>
      </c>
      <c r="C155" s="2">
        <v>0.80583364269705582</v>
      </c>
      <c r="D155">
        <v>0.29589001089334488</v>
      </c>
      <c r="E155" s="2">
        <f t="shared" si="22"/>
        <v>0.30626196333627331</v>
      </c>
      <c r="F155" s="2">
        <f t="shared" si="23"/>
        <v>205</v>
      </c>
      <c r="G155" s="2">
        <f t="shared" si="24"/>
        <v>42025</v>
      </c>
      <c r="H155" s="2">
        <f t="shared" si="25"/>
        <v>0.80583364269705582</v>
      </c>
      <c r="I155" s="2">
        <f t="shared" si="26"/>
        <v>0.64936785970240618</v>
      </c>
      <c r="J155" s="2">
        <f t="shared" si="27"/>
        <v>165.19589675289643</v>
      </c>
    </row>
    <row r="156" spans="2:10" x14ac:dyDescent="0.2">
      <c r="B156">
        <v>210</v>
      </c>
      <c r="C156" s="2">
        <v>0.80583364269705582</v>
      </c>
      <c r="D156">
        <v>0.28986040502786636</v>
      </c>
      <c r="E156" s="2">
        <f t="shared" si="22"/>
        <v>0.28868849292214283</v>
      </c>
      <c r="F156" s="2">
        <f t="shared" si="23"/>
        <v>210</v>
      </c>
      <c r="G156" s="2">
        <f t="shared" si="24"/>
        <v>44100</v>
      </c>
      <c r="H156" s="2">
        <f t="shared" si="25"/>
        <v>0.80583364269705582</v>
      </c>
      <c r="I156" s="2">
        <f t="shared" si="26"/>
        <v>0.64936785970240618</v>
      </c>
      <c r="J156" s="2">
        <f t="shared" si="27"/>
        <v>169.22506496638172</v>
      </c>
    </row>
    <row r="157" spans="2:10" x14ac:dyDescent="0.2">
      <c r="B157">
        <v>215</v>
      </c>
      <c r="C157" s="2">
        <v>0.80583364269705582</v>
      </c>
      <c r="D157">
        <v>0.28450135141611099</v>
      </c>
      <c r="E157" s="2">
        <f t="shared" si="22"/>
        <v>0.27341319773331768</v>
      </c>
      <c r="F157" s="2">
        <f t="shared" si="23"/>
        <v>215</v>
      </c>
      <c r="G157" s="2">
        <f t="shared" si="24"/>
        <v>46225</v>
      </c>
      <c r="H157" s="2">
        <f t="shared" si="25"/>
        <v>0.80583364269705582</v>
      </c>
      <c r="I157" s="2">
        <f t="shared" si="26"/>
        <v>0.64936785970240618</v>
      </c>
      <c r="J157" s="2">
        <f t="shared" si="27"/>
        <v>173.25423317986701</v>
      </c>
    </row>
    <row r="158" spans="2:10" x14ac:dyDescent="0.2">
      <c r="B158">
        <v>220</v>
      </c>
      <c r="C158" s="2">
        <v>0.80583364269705582</v>
      </c>
      <c r="D158">
        <v>0.27916315943002701</v>
      </c>
      <c r="E158" s="2">
        <f t="shared" si="22"/>
        <v>0.26043607776979616</v>
      </c>
      <c r="F158" s="2">
        <f t="shared" si="23"/>
        <v>220</v>
      </c>
      <c r="G158" s="2">
        <f t="shared" si="24"/>
        <v>48400</v>
      </c>
      <c r="H158" s="2">
        <f t="shared" si="25"/>
        <v>0.80583364269705582</v>
      </c>
      <c r="I158" s="2">
        <f t="shared" si="26"/>
        <v>0.64936785970240618</v>
      </c>
      <c r="J158" s="2">
        <f t="shared" si="27"/>
        <v>177.28340139335228</v>
      </c>
    </row>
    <row r="159" spans="2:10" x14ac:dyDescent="0.2">
      <c r="B159">
        <v>225</v>
      </c>
      <c r="C159" s="2">
        <v>0.80583364269705582</v>
      </c>
      <c r="D159">
        <v>0.27280155569314957</v>
      </c>
      <c r="E159" s="2">
        <f t="shared" si="22"/>
        <v>0.24975713303157759</v>
      </c>
      <c r="F159" s="2">
        <f t="shared" si="23"/>
        <v>225</v>
      </c>
      <c r="G159" s="2">
        <f t="shared" si="24"/>
        <v>50625</v>
      </c>
      <c r="H159" s="2">
        <f t="shared" si="25"/>
        <v>0.80583364269705582</v>
      </c>
      <c r="I159" s="2">
        <f t="shared" si="26"/>
        <v>0.64936785970240618</v>
      </c>
      <c r="J159" s="2">
        <f t="shared" si="27"/>
        <v>181.31256960683757</v>
      </c>
    </row>
    <row r="160" spans="2:10" x14ac:dyDescent="0.2">
      <c r="B160">
        <v>230</v>
      </c>
      <c r="C160" s="2">
        <v>0.80583364269705582</v>
      </c>
      <c r="D160">
        <v>0.26853401213884354</v>
      </c>
      <c r="E160" s="2">
        <f t="shared" si="22"/>
        <v>0.24137636351866398</v>
      </c>
      <c r="F160" s="2">
        <f t="shared" si="23"/>
        <v>230</v>
      </c>
      <c r="G160" s="2">
        <f t="shared" si="24"/>
        <v>52900</v>
      </c>
      <c r="H160" s="2">
        <f t="shared" si="25"/>
        <v>0.80583364269705582</v>
      </c>
      <c r="I160" s="2">
        <f t="shared" si="26"/>
        <v>0.64936785970240618</v>
      </c>
      <c r="J160" s="2">
        <f t="shared" si="27"/>
        <v>185.34173782032283</v>
      </c>
    </row>
    <row r="161" spans="2:10" x14ac:dyDescent="0.2">
      <c r="B161">
        <v>235</v>
      </c>
      <c r="C161" s="2">
        <v>0.80583364269705582</v>
      </c>
      <c r="D161">
        <v>0.26623580604791641</v>
      </c>
      <c r="E161" s="2">
        <f t="shared" si="22"/>
        <v>0.23529376923105422</v>
      </c>
      <c r="F161" s="2">
        <f t="shared" si="23"/>
        <v>235</v>
      </c>
      <c r="G161" s="2">
        <f t="shared" si="24"/>
        <v>55225</v>
      </c>
      <c r="H161" s="2">
        <f t="shared" si="25"/>
        <v>0.80583364269705582</v>
      </c>
      <c r="I161" s="2">
        <f t="shared" si="26"/>
        <v>0.64936785970240618</v>
      </c>
      <c r="J161" s="2">
        <f t="shared" si="27"/>
        <v>189.37090603380813</v>
      </c>
    </row>
    <row r="162" spans="2:10" x14ac:dyDescent="0.2">
      <c r="B162">
        <v>240</v>
      </c>
      <c r="C162" s="2">
        <v>0.80583364269705582</v>
      </c>
      <c r="D162">
        <v>0.26562411338090897</v>
      </c>
      <c r="E162" s="2">
        <f t="shared" si="22"/>
        <v>0.23150935016874763</v>
      </c>
      <c r="F162" s="2">
        <f t="shared" si="23"/>
        <v>240</v>
      </c>
      <c r="G162" s="2">
        <f t="shared" si="24"/>
        <v>57600</v>
      </c>
      <c r="H162" s="2">
        <f t="shared" si="25"/>
        <v>0.80583364269705582</v>
      </c>
      <c r="I162" s="2">
        <f t="shared" si="26"/>
        <v>0.64936785970240618</v>
      </c>
      <c r="J162" s="2">
        <f t="shared" si="27"/>
        <v>193.40007424729339</v>
      </c>
    </row>
    <row r="163" spans="2:10" x14ac:dyDescent="0.2">
      <c r="B163">
        <v>245</v>
      </c>
      <c r="C163" s="2">
        <v>0.80583364269705582</v>
      </c>
      <c r="D163">
        <v>0.26020359247922897</v>
      </c>
      <c r="E163" s="2">
        <f t="shared" si="22"/>
        <v>0.23002310633174577</v>
      </c>
      <c r="F163" s="2">
        <f t="shared" si="23"/>
        <v>245</v>
      </c>
      <c r="G163" s="2">
        <f t="shared" si="24"/>
        <v>60025</v>
      </c>
      <c r="H163" s="2">
        <f t="shared" si="25"/>
        <v>0.80583364269705582</v>
      </c>
      <c r="I163" s="2">
        <f t="shared" si="26"/>
        <v>0.64936785970240618</v>
      </c>
      <c r="J163" s="2">
        <f t="shared" si="27"/>
        <v>197.42924246077868</v>
      </c>
    </row>
    <row r="164" spans="2:10" x14ac:dyDescent="0.2">
      <c r="B164">
        <v>250</v>
      </c>
      <c r="C164" s="2">
        <v>0.80583364269705582</v>
      </c>
      <c r="D164">
        <v>0.25759976357221603</v>
      </c>
      <c r="E164" s="2">
        <f t="shared" si="22"/>
        <v>0.23083503772004799</v>
      </c>
      <c r="F164" s="2">
        <f t="shared" si="23"/>
        <v>250</v>
      </c>
      <c r="G164" s="2">
        <f t="shared" si="24"/>
        <v>62500</v>
      </c>
      <c r="H164" s="2">
        <f t="shared" si="25"/>
        <v>0.80583364269705582</v>
      </c>
      <c r="I164" s="2">
        <f t="shared" si="26"/>
        <v>0.64936785970240618</v>
      </c>
      <c r="J164" s="2">
        <f t="shared" si="27"/>
        <v>201.45841067426394</v>
      </c>
    </row>
    <row r="165" spans="2:10" x14ac:dyDescent="0.2">
      <c r="B165">
        <v>255</v>
      </c>
      <c r="C165" s="2">
        <v>0.80583364269705582</v>
      </c>
      <c r="D165">
        <v>0.25596056133508682</v>
      </c>
      <c r="E165" s="2">
        <f t="shared" si="22"/>
        <v>0.23394514433365315</v>
      </c>
      <c r="F165" s="2">
        <f t="shared" si="23"/>
        <v>255</v>
      </c>
      <c r="G165" s="2">
        <f t="shared" si="24"/>
        <v>65025</v>
      </c>
      <c r="H165" s="2">
        <f t="shared" si="25"/>
        <v>0.80583364269705582</v>
      </c>
      <c r="I165" s="2">
        <f t="shared" si="26"/>
        <v>0.64936785970240618</v>
      </c>
      <c r="J165" s="2">
        <f t="shared" si="27"/>
        <v>205.48757888774924</v>
      </c>
    </row>
    <row r="166" spans="2:10" x14ac:dyDescent="0.2">
      <c r="B166">
        <v>260</v>
      </c>
      <c r="C166" s="2">
        <v>0.80583364269705582</v>
      </c>
      <c r="D166">
        <v>0.25249678641557693</v>
      </c>
      <c r="E166" s="2">
        <f t="shared" si="22"/>
        <v>0.23935342617256328</v>
      </c>
      <c r="F166" s="2">
        <f t="shared" si="23"/>
        <v>260</v>
      </c>
      <c r="G166" s="2">
        <f t="shared" si="24"/>
        <v>67600</v>
      </c>
      <c r="H166" s="2">
        <f t="shared" si="25"/>
        <v>0.80583364269705582</v>
      </c>
      <c r="I166" s="2">
        <f t="shared" si="26"/>
        <v>0.64936785970240618</v>
      </c>
      <c r="J166" s="2">
        <f t="shared" si="27"/>
        <v>209.5167471012345</v>
      </c>
    </row>
    <row r="167" spans="2:10" x14ac:dyDescent="0.2">
      <c r="B167">
        <v>265</v>
      </c>
      <c r="C167" s="2">
        <v>0.80583364269705582</v>
      </c>
      <c r="D167">
        <v>0.25121625512838364</v>
      </c>
      <c r="E167" s="2">
        <f t="shared" si="22"/>
        <v>0.24705988323677724</v>
      </c>
      <c r="F167" s="2">
        <f t="shared" si="23"/>
        <v>265</v>
      </c>
      <c r="G167" s="2">
        <f t="shared" si="24"/>
        <v>70225</v>
      </c>
      <c r="H167" s="2">
        <f t="shared" si="25"/>
        <v>0.80583364269705582</v>
      </c>
      <c r="I167" s="2">
        <f t="shared" si="26"/>
        <v>0.64936785970240618</v>
      </c>
      <c r="J167" s="2">
        <f t="shared" si="27"/>
        <v>213.54591531471979</v>
      </c>
    </row>
    <row r="168" spans="2:10" x14ac:dyDescent="0.2">
      <c r="B168">
        <v>270</v>
      </c>
      <c r="C168" s="2">
        <v>0.80583364269705582</v>
      </c>
      <c r="D168">
        <v>0.24657618254423141</v>
      </c>
      <c r="E168" s="2">
        <f t="shared" si="22"/>
        <v>0.25706451552629489</v>
      </c>
      <c r="F168" s="2">
        <f t="shared" si="23"/>
        <v>270</v>
      </c>
      <c r="G168" s="2">
        <f t="shared" si="24"/>
        <v>72900</v>
      </c>
      <c r="H168" s="2">
        <f t="shared" si="25"/>
        <v>0.80583364269705582</v>
      </c>
      <c r="I168" s="2">
        <f t="shared" si="26"/>
        <v>0.64936785970240618</v>
      </c>
      <c r="J168" s="2">
        <f t="shared" si="27"/>
        <v>217.57508352820508</v>
      </c>
    </row>
    <row r="169" spans="2:10" x14ac:dyDescent="0.2">
      <c r="B169">
        <v>275</v>
      </c>
      <c r="C169" s="2">
        <v>0.80583364269705582</v>
      </c>
      <c r="D169">
        <v>0.25031242519617081</v>
      </c>
      <c r="E169" s="2">
        <f t="shared" si="22"/>
        <v>0.26936732304111582</v>
      </c>
      <c r="F169" s="2">
        <f t="shared" si="23"/>
        <v>275</v>
      </c>
      <c r="G169" s="2">
        <f t="shared" si="24"/>
        <v>75625</v>
      </c>
      <c r="H169" s="2">
        <f t="shared" si="25"/>
        <v>0.80583364269705582</v>
      </c>
      <c r="I169" s="2">
        <f t="shared" si="26"/>
        <v>0.64936785970240618</v>
      </c>
      <c r="J169" s="2">
        <f t="shared" si="27"/>
        <v>221.60425174169035</v>
      </c>
    </row>
    <row r="170" spans="2:10" x14ac:dyDescent="0.2">
      <c r="B170">
        <v>280</v>
      </c>
      <c r="C170" s="2">
        <v>0.80583364269705582</v>
      </c>
      <c r="D170">
        <v>0.25065485388040543</v>
      </c>
      <c r="E170" s="2">
        <f t="shared" si="22"/>
        <v>0.28396830578124183</v>
      </c>
      <c r="F170" s="2">
        <f t="shared" si="23"/>
        <v>280</v>
      </c>
      <c r="G170" s="2">
        <f t="shared" si="24"/>
        <v>78400</v>
      </c>
      <c r="H170" s="2">
        <f t="shared" si="25"/>
        <v>0.80583364269705582</v>
      </c>
      <c r="I170" s="2">
        <f t="shared" si="26"/>
        <v>0.64936785970240618</v>
      </c>
      <c r="J170" s="2">
        <f t="shared" si="27"/>
        <v>225.63341995517564</v>
      </c>
    </row>
    <row r="171" spans="2:10" x14ac:dyDescent="0.2">
      <c r="B171" s="2">
        <v>200</v>
      </c>
      <c r="C171">
        <v>0.96456246424110303</v>
      </c>
      <c r="D171">
        <v>0.31162504106760025</v>
      </c>
      <c r="E171" s="2">
        <f t="shared" si="22"/>
        <v>0.32334696379418293</v>
      </c>
      <c r="F171" s="2">
        <f t="shared" si="23"/>
        <v>200</v>
      </c>
      <c r="G171" s="2">
        <f t="shared" si="24"/>
        <v>40000</v>
      </c>
      <c r="H171" s="2">
        <f t="shared" si="25"/>
        <v>0.96456246424110303</v>
      </c>
      <c r="I171" s="2">
        <f t="shared" si="26"/>
        <v>0.93038074742286914</v>
      </c>
      <c r="J171" s="2">
        <f t="shared" si="27"/>
        <v>192.91249284822061</v>
      </c>
    </row>
    <row r="172" spans="2:10" x14ac:dyDescent="0.2">
      <c r="B172" s="2">
        <v>205</v>
      </c>
      <c r="C172" s="2">
        <v>0.96456246424110303</v>
      </c>
      <c r="D172">
        <v>0.29619108885526657</v>
      </c>
      <c r="E172" s="2">
        <f t="shared" si="22"/>
        <v>0.30491767376278189</v>
      </c>
      <c r="F172" s="2">
        <f t="shared" si="23"/>
        <v>205</v>
      </c>
      <c r="G172" s="2">
        <f t="shared" si="24"/>
        <v>42025</v>
      </c>
      <c r="H172" s="2">
        <f t="shared" si="25"/>
        <v>0.96456246424110303</v>
      </c>
      <c r="I172" s="2">
        <f t="shared" si="26"/>
        <v>0.93038074742286914</v>
      </c>
      <c r="J172" s="2">
        <f t="shared" si="27"/>
        <v>197.73530516942611</v>
      </c>
    </row>
    <row r="173" spans="2:10" x14ac:dyDescent="0.2">
      <c r="B173" s="2">
        <v>210</v>
      </c>
      <c r="C173" s="2">
        <v>0.96456246424110303</v>
      </c>
      <c r="D173">
        <v>0.29431115835905075</v>
      </c>
      <c r="E173" s="2">
        <f t="shared" si="22"/>
        <v>0.28878655895668381</v>
      </c>
      <c r="F173" s="2">
        <f t="shared" si="23"/>
        <v>210</v>
      </c>
      <c r="G173" s="2">
        <f t="shared" si="24"/>
        <v>44100</v>
      </c>
      <c r="H173" s="2">
        <f t="shared" si="25"/>
        <v>0.96456246424110303</v>
      </c>
      <c r="I173" s="2">
        <f t="shared" si="26"/>
        <v>0.93038074742286914</v>
      </c>
      <c r="J173" s="2">
        <f t="shared" si="27"/>
        <v>202.55811749063164</v>
      </c>
    </row>
    <row r="174" spans="2:10" x14ac:dyDescent="0.2">
      <c r="B174" s="2">
        <v>215</v>
      </c>
      <c r="C174" s="2">
        <v>0.96456246424110303</v>
      </c>
      <c r="D174">
        <v>0.28746511787176132</v>
      </c>
      <c r="E174" s="2">
        <f t="shared" si="22"/>
        <v>0.27495361937589091</v>
      </c>
      <c r="F174" s="2">
        <f t="shared" si="23"/>
        <v>215</v>
      </c>
      <c r="G174" s="2">
        <f t="shared" si="24"/>
        <v>46225</v>
      </c>
      <c r="H174" s="2">
        <f t="shared" si="25"/>
        <v>0.96456246424110303</v>
      </c>
      <c r="I174" s="2">
        <f t="shared" si="26"/>
        <v>0.93038074742286914</v>
      </c>
      <c r="J174" s="2">
        <f t="shared" si="27"/>
        <v>207.38092981183715</v>
      </c>
    </row>
    <row r="175" spans="2:10" x14ac:dyDescent="0.2">
      <c r="B175" s="2">
        <v>220</v>
      </c>
      <c r="C175" s="2">
        <v>0.96456246424110303</v>
      </c>
      <c r="D175">
        <v>0.28580699115991592</v>
      </c>
      <c r="E175" s="2">
        <f t="shared" si="22"/>
        <v>0.26341885502040174</v>
      </c>
      <c r="F175" s="2">
        <f t="shared" si="23"/>
        <v>220</v>
      </c>
      <c r="G175" s="2">
        <f t="shared" si="24"/>
        <v>48400</v>
      </c>
      <c r="H175" s="2">
        <f t="shared" si="25"/>
        <v>0.96456246424110303</v>
      </c>
      <c r="I175" s="2">
        <f t="shared" si="26"/>
        <v>0.93038074742286914</v>
      </c>
      <c r="J175" s="2">
        <f t="shared" si="27"/>
        <v>212.20374213304268</v>
      </c>
    </row>
    <row r="176" spans="2:10" x14ac:dyDescent="0.2">
      <c r="B176" s="2">
        <v>225</v>
      </c>
      <c r="C176" s="2">
        <v>0.96456246424110303</v>
      </c>
      <c r="D176">
        <v>0.27940835803747177</v>
      </c>
      <c r="E176" s="2">
        <f t="shared" si="22"/>
        <v>0.25418226589021542</v>
      </c>
      <c r="F176" s="2">
        <f t="shared" si="23"/>
        <v>225</v>
      </c>
      <c r="G176" s="2">
        <f t="shared" si="24"/>
        <v>50625</v>
      </c>
      <c r="H176" s="2">
        <f t="shared" si="25"/>
        <v>0.96456246424110303</v>
      </c>
      <c r="I176" s="2">
        <f t="shared" si="26"/>
        <v>0.93038074742286914</v>
      </c>
      <c r="J176" s="2">
        <f t="shared" si="27"/>
        <v>217.02655445424818</v>
      </c>
    </row>
    <row r="177" spans="2:10" x14ac:dyDescent="0.2">
      <c r="B177" s="2">
        <v>230</v>
      </c>
      <c r="C177" s="2">
        <v>0.96456246424110303</v>
      </c>
      <c r="D177">
        <v>0.27261357754468918</v>
      </c>
      <c r="E177" s="2">
        <f t="shared" si="22"/>
        <v>0.24724385198533413</v>
      </c>
      <c r="F177" s="2">
        <f t="shared" si="23"/>
        <v>230</v>
      </c>
      <c r="G177" s="2">
        <f t="shared" si="24"/>
        <v>52900</v>
      </c>
      <c r="H177" s="2">
        <f t="shared" si="25"/>
        <v>0.96456246424110303</v>
      </c>
      <c r="I177" s="2">
        <f t="shared" si="26"/>
        <v>0.93038074742286914</v>
      </c>
      <c r="J177" s="2">
        <f t="shared" si="27"/>
        <v>221.84936677545369</v>
      </c>
    </row>
    <row r="178" spans="2:10" x14ac:dyDescent="0.2">
      <c r="B178" s="2">
        <v>235</v>
      </c>
      <c r="C178" s="2">
        <v>0.96456246424110303</v>
      </c>
      <c r="D178">
        <v>0.28559450060129166</v>
      </c>
      <c r="E178" s="2">
        <f t="shared" si="22"/>
        <v>0.24260361330575667</v>
      </c>
      <c r="F178" s="2">
        <f t="shared" si="23"/>
        <v>235</v>
      </c>
      <c r="G178" s="2">
        <f t="shared" si="24"/>
        <v>55225</v>
      </c>
      <c r="H178" s="2">
        <f t="shared" si="25"/>
        <v>0.96456246424110303</v>
      </c>
      <c r="I178" s="2">
        <f t="shared" si="26"/>
        <v>0.93038074742286914</v>
      </c>
      <c r="J178" s="2">
        <f t="shared" si="27"/>
        <v>226.67217909665922</v>
      </c>
    </row>
    <row r="179" spans="2:10" x14ac:dyDescent="0.2">
      <c r="B179" s="2">
        <v>240</v>
      </c>
      <c r="C179" s="2">
        <v>0.96456246424110303</v>
      </c>
      <c r="D179">
        <v>0.26976238936185837</v>
      </c>
      <c r="E179" s="2">
        <f t="shared" si="22"/>
        <v>0.24026154985148243</v>
      </c>
      <c r="F179" s="2">
        <f t="shared" si="23"/>
        <v>240</v>
      </c>
      <c r="G179" s="2">
        <f t="shared" si="24"/>
        <v>57600</v>
      </c>
      <c r="H179" s="2">
        <f t="shared" si="25"/>
        <v>0.96456246424110303</v>
      </c>
      <c r="I179" s="2">
        <f t="shared" si="26"/>
        <v>0.93038074742286914</v>
      </c>
      <c r="J179" s="2">
        <f t="shared" si="27"/>
        <v>231.49499141786472</v>
      </c>
    </row>
    <row r="180" spans="2:10" x14ac:dyDescent="0.2">
      <c r="B180" s="2">
        <v>245</v>
      </c>
      <c r="C180" s="2">
        <v>0.96456246424110303</v>
      </c>
      <c r="D180">
        <v>0.26785474270582199</v>
      </c>
      <c r="E180" s="2">
        <f t="shared" si="22"/>
        <v>0.24021766162251287</v>
      </c>
      <c r="F180" s="2">
        <f t="shared" si="23"/>
        <v>245</v>
      </c>
      <c r="G180" s="2">
        <f t="shared" si="24"/>
        <v>60025</v>
      </c>
      <c r="H180" s="2">
        <f t="shared" si="25"/>
        <v>0.96456246424110303</v>
      </c>
      <c r="I180" s="2">
        <f t="shared" si="26"/>
        <v>0.93038074742286914</v>
      </c>
      <c r="J180" s="2">
        <f t="shared" si="27"/>
        <v>236.31780373907026</v>
      </c>
    </row>
    <row r="181" spans="2:10" x14ac:dyDescent="0.2">
      <c r="B181" s="2">
        <v>250</v>
      </c>
      <c r="C181" s="2">
        <v>0.96456246424110303</v>
      </c>
      <c r="D181">
        <v>0.26960927993059158</v>
      </c>
      <c r="E181" s="2">
        <f t="shared" ref="E181:E204" si="28">$Q$52+$P$52*F181+$O$52*G181+$N$52*H181+$M$52*I181+$L$52*J181</f>
        <v>0.24247194861884744</v>
      </c>
      <c r="F181" s="2">
        <f t="shared" ref="F181:F204" si="29">B181</f>
        <v>250</v>
      </c>
      <c r="G181" s="2">
        <f t="shared" ref="G181:G204" si="30">F181^2</f>
        <v>62500</v>
      </c>
      <c r="H181" s="2">
        <f t="shared" ref="H181:H204" si="31">C181</f>
        <v>0.96456246424110303</v>
      </c>
      <c r="I181" s="2">
        <f t="shared" ref="I181:I204" si="32">H181^2</f>
        <v>0.93038074742286914</v>
      </c>
      <c r="J181" s="2">
        <f t="shared" ref="J181:J204" si="33">F181*H181</f>
        <v>241.14061606027576</v>
      </c>
    </row>
    <row r="182" spans="2:10" x14ac:dyDescent="0.2">
      <c r="B182" s="2">
        <v>255</v>
      </c>
      <c r="C182" s="2">
        <v>0.96456246424110303</v>
      </c>
      <c r="D182">
        <v>0.26101630181074142</v>
      </c>
      <c r="E182" s="2">
        <f t="shared" si="28"/>
        <v>0.24702441084048485</v>
      </c>
      <c r="F182" s="2">
        <f t="shared" si="29"/>
        <v>255</v>
      </c>
      <c r="G182" s="2">
        <f t="shared" si="30"/>
        <v>65025</v>
      </c>
      <c r="H182" s="2">
        <f t="shared" si="31"/>
        <v>0.96456246424110303</v>
      </c>
      <c r="I182" s="2">
        <f t="shared" si="32"/>
        <v>0.93038074742286914</v>
      </c>
      <c r="J182" s="2">
        <f t="shared" si="33"/>
        <v>245.96342838148126</v>
      </c>
    </row>
    <row r="183" spans="2:10" x14ac:dyDescent="0.2">
      <c r="B183" s="2">
        <v>260</v>
      </c>
      <c r="C183" s="2">
        <v>0.96456246424110303</v>
      </c>
      <c r="D183">
        <v>0.25998655706644058</v>
      </c>
      <c r="E183" s="2">
        <f t="shared" si="28"/>
        <v>0.25387504828742735</v>
      </c>
      <c r="F183" s="2">
        <f t="shared" si="29"/>
        <v>260</v>
      </c>
      <c r="G183" s="2">
        <f t="shared" si="30"/>
        <v>67600</v>
      </c>
      <c r="H183" s="2">
        <f t="shared" si="31"/>
        <v>0.96456246424110303</v>
      </c>
      <c r="I183" s="2">
        <f t="shared" si="32"/>
        <v>0.93038074742286914</v>
      </c>
      <c r="J183" s="2">
        <f t="shared" si="33"/>
        <v>250.7862407026868</v>
      </c>
    </row>
    <row r="184" spans="2:10" x14ac:dyDescent="0.2">
      <c r="B184" s="2">
        <v>265</v>
      </c>
      <c r="C184" s="2">
        <v>0.96456246424110303</v>
      </c>
      <c r="D184">
        <v>0.26326727122068405</v>
      </c>
      <c r="E184" s="2">
        <f t="shared" si="28"/>
        <v>0.26302386095967356</v>
      </c>
      <c r="F184" s="2">
        <f t="shared" si="29"/>
        <v>265</v>
      </c>
      <c r="G184" s="2">
        <f t="shared" si="30"/>
        <v>70225</v>
      </c>
      <c r="H184" s="2">
        <f t="shared" si="31"/>
        <v>0.96456246424110303</v>
      </c>
      <c r="I184" s="2">
        <f t="shared" si="32"/>
        <v>0.93038074742286914</v>
      </c>
      <c r="J184" s="2">
        <f t="shared" si="33"/>
        <v>255.6090530238923</v>
      </c>
    </row>
    <row r="185" spans="2:10" x14ac:dyDescent="0.2">
      <c r="B185" s="2">
        <v>270</v>
      </c>
      <c r="C185" s="2">
        <v>0.96456246424110303</v>
      </c>
      <c r="D185">
        <v>0.29320735484361649</v>
      </c>
      <c r="E185" s="2">
        <f t="shared" si="28"/>
        <v>0.2744708488572235</v>
      </c>
      <c r="F185" s="2">
        <f t="shared" si="29"/>
        <v>270</v>
      </c>
      <c r="G185" s="2">
        <f t="shared" si="30"/>
        <v>72900</v>
      </c>
      <c r="H185" s="2">
        <f t="shared" si="31"/>
        <v>0.96456246424110303</v>
      </c>
      <c r="I185" s="2">
        <f t="shared" si="32"/>
        <v>0.93038074742286914</v>
      </c>
      <c r="J185" s="2">
        <f t="shared" si="33"/>
        <v>260.43186534509783</v>
      </c>
    </row>
    <row r="186" spans="2:10" x14ac:dyDescent="0.2">
      <c r="B186" s="2">
        <v>275</v>
      </c>
      <c r="C186" s="2">
        <v>0.96456246424110303</v>
      </c>
      <c r="D186">
        <v>0.26190850883722305</v>
      </c>
      <c r="E186" s="2">
        <f t="shared" si="28"/>
        <v>0.28821601198007674</v>
      </c>
      <c r="F186" s="2">
        <f t="shared" si="29"/>
        <v>275</v>
      </c>
      <c r="G186" s="2">
        <f t="shared" si="30"/>
        <v>75625</v>
      </c>
      <c r="H186" s="2">
        <f t="shared" si="31"/>
        <v>0.96456246424110303</v>
      </c>
      <c r="I186" s="2">
        <f t="shared" si="32"/>
        <v>0.93038074742286914</v>
      </c>
      <c r="J186" s="2">
        <f t="shared" si="33"/>
        <v>265.25467766630334</v>
      </c>
    </row>
    <row r="187" spans="2:10" x14ac:dyDescent="0.2">
      <c r="B187" s="2">
        <v>280</v>
      </c>
      <c r="C187" s="2">
        <v>0.96456246424110303</v>
      </c>
      <c r="D187">
        <v>0.25358404964208603</v>
      </c>
      <c r="E187" s="2">
        <f t="shared" si="28"/>
        <v>0.30425935032823503</v>
      </c>
      <c r="F187" s="2">
        <f t="shared" si="29"/>
        <v>280</v>
      </c>
      <c r="G187" s="2">
        <f t="shared" si="30"/>
        <v>78400</v>
      </c>
      <c r="H187" s="2">
        <f t="shared" si="31"/>
        <v>0.96456246424110303</v>
      </c>
      <c r="I187" s="2">
        <f t="shared" si="32"/>
        <v>0.93038074742286914</v>
      </c>
      <c r="J187" s="2">
        <f t="shared" si="33"/>
        <v>270.07748998750884</v>
      </c>
    </row>
    <row r="188" spans="2:10" x14ac:dyDescent="0.2">
      <c r="B188" s="2">
        <v>200</v>
      </c>
      <c r="C188">
        <v>1.2224985217466682</v>
      </c>
      <c r="D188">
        <v>0.29537077993154526</v>
      </c>
      <c r="E188" s="2">
        <f t="shared" si="28"/>
        <v>0.33332123537014635</v>
      </c>
      <c r="F188" s="2">
        <f t="shared" si="29"/>
        <v>200</v>
      </c>
      <c r="G188" s="2">
        <f t="shared" si="30"/>
        <v>40000</v>
      </c>
      <c r="H188" s="2">
        <f t="shared" si="31"/>
        <v>1.2224985217466682</v>
      </c>
      <c r="I188" s="2">
        <f t="shared" si="32"/>
        <v>1.4945026356727888</v>
      </c>
      <c r="J188" s="2">
        <f t="shared" si="33"/>
        <v>244.49970434933363</v>
      </c>
    </row>
    <row r="189" spans="2:10" x14ac:dyDescent="0.2">
      <c r="B189" s="2">
        <v>205</v>
      </c>
      <c r="C189" s="2">
        <v>1.2224985217466682</v>
      </c>
      <c r="D189">
        <v>0.29420707374811172</v>
      </c>
      <c r="E189" s="2">
        <f t="shared" si="28"/>
        <v>0.31723578885398029</v>
      </c>
      <c r="F189" s="2">
        <f t="shared" si="29"/>
        <v>205</v>
      </c>
      <c r="G189" s="2">
        <f t="shared" si="30"/>
        <v>42025</v>
      </c>
      <c r="H189" s="2">
        <f t="shared" si="31"/>
        <v>1.2224985217466682</v>
      </c>
      <c r="I189" s="2">
        <f t="shared" si="32"/>
        <v>1.4945026356727888</v>
      </c>
      <c r="J189" s="2">
        <f t="shared" si="33"/>
        <v>250.61219695806699</v>
      </c>
    </row>
    <row r="190" spans="2:10" x14ac:dyDescent="0.2">
      <c r="B190" s="2">
        <v>210</v>
      </c>
      <c r="C190" s="2">
        <v>1.2224985217466682</v>
      </c>
      <c r="D190">
        <v>0.28836663812398911</v>
      </c>
      <c r="E190" s="2">
        <f t="shared" si="28"/>
        <v>0.30344851756311708</v>
      </c>
      <c r="F190" s="2">
        <f t="shared" si="29"/>
        <v>210</v>
      </c>
      <c r="G190" s="2">
        <f t="shared" si="30"/>
        <v>44100</v>
      </c>
      <c r="H190" s="2">
        <f t="shared" si="31"/>
        <v>1.2224985217466682</v>
      </c>
      <c r="I190" s="2">
        <f t="shared" si="32"/>
        <v>1.4945026356727888</v>
      </c>
      <c r="J190" s="2">
        <f t="shared" si="33"/>
        <v>256.72468956680029</v>
      </c>
    </row>
    <row r="191" spans="2:10" x14ac:dyDescent="0.2">
      <c r="B191" s="2">
        <v>215</v>
      </c>
      <c r="C191" s="2">
        <v>1.2224985217466682</v>
      </c>
      <c r="D191">
        <v>0.28491746634244919</v>
      </c>
      <c r="E191" s="2">
        <f t="shared" si="28"/>
        <v>0.29195942149755916</v>
      </c>
      <c r="F191" s="2">
        <f t="shared" si="29"/>
        <v>215</v>
      </c>
      <c r="G191" s="2">
        <f t="shared" si="30"/>
        <v>46225</v>
      </c>
      <c r="H191" s="2">
        <f t="shared" si="31"/>
        <v>1.2224985217466682</v>
      </c>
      <c r="I191" s="2">
        <f t="shared" si="32"/>
        <v>1.4945026356727888</v>
      </c>
      <c r="J191" s="2">
        <f t="shared" si="33"/>
        <v>262.83718217553366</v>
      </c>
    </row>
    <row r="192" spans="2:10" x14ac:dyDescent="0.2">
      <c r="B192" s="2">
        <v>220</v>
      </c>
      <c r="C192" s="2">
        <v>1.2224985217466682</v>
      </c>
      <c r="D192">
        <v>0.2849072590470314</v>
      </c>
      <c r="E192" s="2">
        <f t="shared" si="28"/>
        <v>0.28276850065730497</v>
      </c>
      <c r="F192" s="2">
        <f t="shared" si="29"/>
        <v>220</v>
      </c>
      <c r="G192" s="2">
        <f t="shared" si="30"/>
        <v>48400</v>
      </c>
      <c r="H192" s="2">
        <f t="shared" si="31"/>
        <v>1.2224985217466682</v>
      </c>
      <c r="I192" s="2">
        <f t="shared" si="32"/>
        <v>1.4945026356727888</v>
      </c>
      <c r="J192" s="2">
        <f t="shared" si="33"/>
        <v>268.94967478426702</v>
      </c>
    </row>
    <row r="193" spans="2:10" x14ac:dyDescent="0.2">
      <c r="B193" s="2">
        <v>225</v>
      </c>
      <c r="C193" s="2">
        <v>1.2224985217466682</v>
      </c>
      <c r="D193">
        <v>0.27685802429914474</v>
      </c>
      <c r="E193" s="2">
        <f t="shared" si="28"/>
        <v>0.27587575504235351</v>
      </c>
      <c r="F193" s="2">
        <f t="shared" si="29"/>
        <v>225</v>
      </c>
      <c r="G193" s="2">
        <f t="shared" si="30"/>
        <v>50625</v>
      </c>
      <c r="H193" s="2">
        <f t="shared" si="31"/>
        <v>1.2224985217466682</v>
      </c>
      <c r="I193" s="2">
        <f t="shared" si="32"/>
        <v>1.4945026356727888</v>
      </c>
      <c r="J193" s="2">
        <f t="shared" si="33"/>
        <v>275.06216739300032</v>
      </c>
    </row>
    <row r="194" spans="2:10" x14ac:dyDescent="0.2">
      <c r="B194" s="2">
        <v>230</v>
      </c>
      <c r="C194" s="2">
        <v>1.2224985217466682</v>
      </c>
      <c r="D194">
        <v>0.27702774852514267</v>
      </c>
      <c r="E194" s="2">
        <f t="shared" si="28"/>
        <v>0.27128118465270723</v>
      </c>
      <c r="F194" s="2">
        <f t="shared" si="29"/>
        <v>230</v>
      </c>
      <c r="G194" s="2">
        <f t="shared" si="30"/>
        <v>52900</v>
      </c>
      <c r="H194" s="2">
        <f t="shared" si="31"/>
        <v>1.2224985217466682</v>
      </c>
      <c r="I194" s="2">
        <f t="shared" si="32"/>
        <v>1.4945026356727888</v>
      </c>
      <c r="J194" s="2">
        <f t="shared" si="33"/>
        <v>281.17466000173368</v>
      </c>
    </row>
    <row r="195" spans="2:10" x14ac:dyDescent="0.2">
      <c r="B195" s="2">
        <v>235</v>
      </c>
      <c r="C195" s="2">
        <v>1.2224985217466682</v>
      </c>
      <c r="D195">
        <v>0.27514662593603134</v>
      </c>
      <c r="E195" s="2">
        <f t="shared" si="28"/>
        <v>0.26898478948836468</v>
      </c>
      <c r="F195" s="2">
        <f t="shared" si="29"/>
        <v>235</v>
      </c>
      <c r="G195" s="2">
        <f t="shared" si="30"/>
        <v>55225</v>
      </c>
      <c r="H195" s="2">
        <f t="shared" si="31"/>
        <v>1.2224985217466682</v>
      </c>
      <c r="I195" s="2">
        <f t="shared" si="32"/>
        <v>1.4945026356727888</v>
      </c>
      <c r="J195" s="2">
        <f t="shared" si="33"/>
        <v>287.28715261046705</v>
      </c>
    </row>
    <row r="196" spans="2:10" x14ac:dyDescent="0.2">
      <c r="B196" s="2">
        <v>240</v>
      </c>
      <c r="C196" s="2">
        <v>1.2224985217466682</v>
      </c>
      <c r="D196">
        <v>0.28698679059743881</v>
      </c>
      <c r="E196" s="2">
        <f t="shared" si="28"/>
        <v>0.26898656954932532</v>
      </c>
      <c r="F196" s="2">
        <f t="shared" si="29"/>
        <v>240</v>
      </c>
      <c r="G196" s="2">
        <f t="shared" si="30"/>
        <v>57600</v>
      </c>
      <c r="H196" s="2">
        <f t="shared" si="31"/>
        <v>1.2224985217466682</v>
      </c>
      <c r="I196" s="2">
        <f t="shared" si="32"/>
        <v>1.4945026356727888</v>
      </c>
      <c r="J196" s="2">
        <f t="shared" si="33"/>
        <v>293.39964521920035</v>
      </c>
    </row>
    <row r="197" spans="2:10" x14ac:dyDescent="0.2">
      <c r="B197" s="2">
        <v>245</v>
      </c>
      <c r="C197" s="2">
        <v>1.2224985217466682</v>
      </c>
      <c r="D197">
        <v>0.2837713435292244</v>
      </c>
      <c r="E197" s="2">
        <f t="shared" si="28"/>
        <v>0.27128652483559068</v>
      </c>
      <c r="F197" s="2">
        <f t="shared" si="29"/>
        <v>245</v>
      </c>
      <c r="G197" s="2">
        <f t="shared" si="30"/>
        <v>60025</v>
      </c>
      <c r="H197" s="2">
        <f t="shared" si="31"/>
        <v>1.2224985217466682</v>
      </c>
      <c r="I197" s="2">
        <f t="shared" si="32"/>
        <v>1.4945026356727888</v>
      </c>
      <c r="J197" s="2">
        <f t="shared" si="33"/>
        <v>299.51213782793371</v>
      </c>
    </row>
    <row r="198" spans="2:10" x14ac:dyDescent="0.2">
      <c r="B198" s="2">
        <v>250</v>
      </c>
      <c r="C198" s="2">
        <v>1.2224985217466682</v>
      </c>
      <c r="D198">
        <v>0.26713553816080093</v>
      </c>
      <c r="E198" s="2">
        <f t="shared" si="28"/>
        <v>0.27588465534716011</v>
      </c>
      <c r="F198" s="2">
        <f t="shared" si="29"/>
        <v>250</v>
      </c>
      <c r="G198" s="2">
        <f t="shared" si="30"/>
        <v>62500</v>
      </c>
      <c r="H198" s="2">
        <f t="shared" si="31"/>
        <v>1.2224985217466682</v>
      </c>
      <c r="I198" s="2">
        <f t="shared" si="32"/>
        <v>1.4945026356727888</v>
      </c>
      <c r="J198" s="2">
        <f t="shared" si="33"/>
        <v>305.62463043666702</v>
      </c>
    </row>
    <row r="199" spans="2:10" x14ac:dyDescent="0.2">
      <c r="B199" s="2">
        <v>255</v>
      </c>
      <c r="C199" s="2">
        <v>1.2224985217466682</v>
      </c>
      <c r="D199">
        <v>0.26569526642560959</v>
      </c>
      <c r="E199" s="2">
        <f t="shared" si="28"/>
        <v>0.2827809610840325</v>
      </c>
      <c r="F199" s="2">
        <f t="shared" si="29"/>
        <v>255</v>
      </c>
      <c r="G199" s="2">
        <f t="shared" si="30"/>
        <v>65025</v>
      </c>
      <c r="H199" s="2">
        <f t="shared" si="31"/>
        <v>1.2224985217466682</v>
      </c>
      <c r="I199" s="2">
        <f t="shared" si="32"/>
        <v>1.4945026356727888</v>
      </c>
      <c r="J199" s="2">
        <f t="shared" si="33"/>
        <v>311.73712304540038</v>
      </c>
    </row>
    <row r="200" spans="2:10" x14ac:dyDescent="0.2">
      <c r="B200" s="2">
        <v>260</v>
      </c>
      <c r="C200" s="2">
        <v>1.2224985217466682</v>
      </c>
      <c r="D200">
        <v>0.26075620204210281</v>
      </c>
      <c r="E200" s="2">
        <f t="shared" si="28"/>
        <v>0.29197544204620995</v>
      </c>
      <c r="F200" s="2">
        <f t="shared" si="29"/>
        <v>260</v>
      </c>
      <c r="G200" s="2">
        <f t="shared" si="30"/>
        <v>67600</v>
      </c>
      <c r="H200" s="2">
        <f t="shared" si="31"/>
        <v>1.2224985217466682</v>
      </c>
      <c r="I200" s="2">
        <f t="shared" si="32"/>
        <v>1.4945026356727888</v>
      </c>
      <c r="J200" s="2">
        <f t="shared" si="33"/>
        <v>317.84961565413374</v>
      </c>
    </row>
    <row r="201" spans="2:10" x14ac:dyDescent="0.2">
      <c r="B201" s="2">
        <v>265</v>
      </c>
      <c r="C201" s="2">
        <v>1.2224985217466682</v>
      </c>
      <c r="D201">
        <v>0.37826482206583023</v>
      </c>
      <c r="E201" s="2">
        <f t="shared" si="28"/>
        <v>0.30346809823369103</v>
      </c>
      <c r="F201" s="2">
        <f t="shared" si="29"/>
        <v>265</v>
      </c>
      <c r="G201" s="2">
        <f t="shared" si="30"/>
        <v>70225</v>
      </c>
      <c r="H201" s="2">
        <f t="shared" si="31"/>
        <v>1.2224985217466682</v>
      </c>
      <c r="I201" s="2">
        <f t="shared" si="32"/>
        <v>1.4945026356727888</v>
      </c>
      <c r="J201" s="2">
        <f t="shared" si="33"/>
        <v>323.96210826286705</v>
      </c>
    </row>
    <row r="202" spans="2:10" x14ac:dyDescent="0.2">
      <c r="B202" s="2">
        <v>270</v>
      </c>
      <c r="C202" s="2">
        <v>1.2224985217466682</v>
      </c>
      <c r="D202">
        <v>0.32432142645120621</v>
      </c>
      <c r="E202" s="2">
        <f t="shared" si="28"/>
        <v>0.31725892964647595</v>
      </c>
      <c r="F202" s="2">
        <f t="shared" si="29"/>
        <v>270</v>
      </c>
      <c r="G202" s="2">
        <f t="shared" si="30"/>
        <v>72900</v>
      </c>
      <c r="H202" s="2">
        <f t="shared" si="31"/>
        <v>1.2224985217466682</v>
      </c>
      <c r="I202" s="2">
        <f t="shared" si="32"/>
        <v>1.4945026356727888</v>
      </c>
      <c r="J202" s="2">
        <f t="shared" si="33"/>
        <v>330.07460087160041</v>
      </c>
    </row>
    <row r="203" spans="2:10" x14ac:dyDescent="0.2">
      <c r="B203" s="2">
        <v>275</v>
      </c>
      <c r="C203" s="2">
        <v>1.2224985217466682</v>
      </c>
      <c r="D203">
        <v>0.26585441082715988</v>
      </c>
      <c r="E203" s="2">
        <f t="shared" si="28"/>
        <v>0.33334793628456416</v>
      </c>
      <c r="F203" s="2">
        <f t="shared" si="29"/>
        <v>275</v>
      </c>
      <c r="G203" s="2">
        <f t="shared" si="30"/>
        <v>75625</v>
      </c>
      <c r="H203" s="2">
        <f t="shared" si="31"/>
        <v>1.2224985217466682</v>
      </c>
      <c r="I203" s="2">
        <f t="shared" si="32"/>
        <v>1.4945026356727888</v>
      </c>
      <c r="J203" s="2">
        <f t="shared" si="33"/>
        <v>336.18709348033377</v>
      </c>
    </row>
    <row r="204" spans="2:10" x14ac:dyDescent="0.2">
      <c r="B204" s="2">
        <v>280</v>
      </c>
      <c r="C204" s="2">
        <v>1.2224985217466682</v>
      </c>
      <c r="D204">
        <v>0.26711504906415939</v>
      </c>
      <c r="E204" s="2">
        <f t="shared" si="28"/>
        <v>0.35173511814795733</v>
      </c>
      <c r="F204" s="2">
        <f t="shared" si="29"/>
        <v>280</v>
      </c>
      <c r="G204" s="2">
        <f t="shared" si="30"/>
        <v>78400</v>
      </c>
      <c r="H204" s="2">
        <f t="shared" si="31"/>
        <v>1.2224985217466682</v>
      </c>
      <c r="I204" s="2">
        <f t="shared" si="32"/>
        <v>1.4945026356727888</v>
      </c>
      <c r="J204" s="2">
        <f t="shared" si="33"/>
        <v>342.29958608906708</v>
      </c>
    </row>
  </sheetData>
  <mergeCells count="3">
    <mergeCell ref="E1:K1"/>
    <mergeCell ref="H3:I3"/>
    <mergeCell ref="A9:A17"/>
  </mergeCells>
  <conditionalFormatting sqref="C5:O25">
    <cfRule type="colorScale" priority="2">
      <colorScale>
        <cfvo type="min"/>
        <cfvo type="percentile" val="50"/>
        <cfvo type="max"/>
        <color rgb="FF92D050"/>
        <color rgb="FFFFFF00"/>
        <color rgb="FFFF0000"/>
      </colorScale>
    </cfRule>
    <cfRule type="colorScale" priority="9">
      <colorScale>
        <cfvo type="min"/>
        <cfvo type="percentile" val="50"/>
        <cfvo type="max"/>
        <color theme="7" tint="0.79998168889431442"/>
        <color rgb="FFFFC000"/>
        <color rgb="FFFF0000"/>
      </colorScale>
    </cfRule>
    <cfRule type="colorScale" priority="10">
      <colorScale>
        <cfvo type="percent" val="0"/>
        <cfvo type="percent" val="50"/>
        <cfvo type="percent" val="100"/>
        <color rgb="FFFFFF00"/>
        <color rgb="FFFFC000"/>
        <color rgb="FFFF0000"/>
      </colorScale>
    </cfRule>
  </conditionalFormatting>
  <conditionalFormatting sqref="D69:D85">
    <cfRule type="colorScale" priority="7">
      <colorScale>
        <cfvo type="min"/>
        <cfvo type="percentile" val="50"/>
        <cfvo type="max"/>
        <color theme="7" tint="0.79998168889431442"/>
        <color rgb="FFFFC000"/>
        <color rgb="FFFF0000"/>
      </colorScale>
    </cfRule>
    <cfRule type="colorScale" priority="8">
      <colorScale>
        <cfvo type="percent" val="0"/>
        <cfvo type="percent" val="50"/>
        <cfvo type="percent" val="100"/>
        <color rgb="FFFFFF00"/>
        <color rgb="FFFFC000"/>
        <color rgb="FFFF0000"/>
      </colorScale>
    </cfRule>
  </conditionalFormatting>
  <conditionalFormatting sqref="D86:D102">
    <cfRule type="colorScale" priority="3">
      <colorScale>
        <cfvo type="min"/>
        <cfvo type="percentile" val="50"/>
        <cfvo type="max"/>
        <color theme="7" tint="0.79998168889431442"/>
        <color rgb="FFFFC000"/>
        <color rgb="FFFF0000"/>
      </colorScale>
    </cfRule>
    <cfRule type="colorScale" priority="4">
      <colorScale>
        <cfvo type="percent" val="0"/>
        <cfvo type="percent" val="50"/>
        <cfvo type="percent" val="100"/>
        <color rgb="FFFFFF00"/>
        <color rgb="FFFFC000"/>
        <color rgb="FFFF0000"/>
      </colorScale>
    </cfRule>
  </conditionalFormatting>
  <conditionalFormatting sqref="C23:O25 D22:O22 C5:O21">
    <cfRule type="colorScale" priority="1">
      <colorScale>
        <cfvo type="min"/>
        <cfvo type="percentile" val="50"/>
        <cfvo type="max"/>
        <color theme="7" tint="0.79998168889431442"/>
        <color rgb="FFFFFF00"/>
        <color rgb="FFFF0000"/>
      </colorScale>
    </cfRule>
  </conditionalFormatting>
  <pageMargins left="0.7" right="0.7" top="0.75" bottom="0.75" header="0.3" footer="0.3"/>
  <drawing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P45"/>
  <sheetViews>
    <sheetView workbookViewId="0">
      <selection activeCell="P8" sqref="P8"/>
    </sheetView>
  </sheetViews>
  <sheetFormatPr baseColWidth="10" defaultColWidth="8.83203125" defaultRowHeight="16" x14ac:dyDescent="0.2"/>
  <cols>
    <col min="11" max="11" width="10.33203125" customWidth="1"/>
    <col min="16" max="16" width="13" customWidth="1"/>
  </cols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44286.687974537039</v>
      </c>
      <c r="C2">
        <v>91.7</v>
      </c>
      <c r="D2">
        <v>110.2</v>
      </c>
      <c r="E2">
        <v>111.6</v>
      </c>
      <c r="G2">
        <v>2</v>
      </c>
      <c r="H2">
        <v>0.8906260937499999</v>
      </c>
      <c r="I2">
        <v>145</v>
      </c>
    </row>
    <row r="3" spans="1:16" x14ac:dyDescent="0.2">
      <c r="A3" s="3">
        <v>1</v>
      </c>
      <c r="B3" s="4">
        <v>44280.562592592592</v>
      </c>
      <c r="C3">
        <v>85.35</v>
      </c>
      <c r="D3">
        <v>105.2</v>
      </c>
      <c r="E3">
        <v>106.6</v>
      </c>
      <c r="F3">
        <v>7</v>
      </c>
      <c r="G3">
        <v>8</v>
      </c>
      <c r="H3">
        <v>0.83984535156249995</v>
      </c>
      <c r="I3">
        <v>150</v>
      </c>
      <c r="J3" s="4">
        <v>44292.608194444438</v>
      </c>
      <c r="K3">
        <v>7.0000000000000007E-2</v>
      </c>
      <c r="L3">
        <v>0.01</v>
      </c>
      <c r="M3">
        <v>0.06</v>
      </c>
      <c r="N3">
        <v>1</v>
      </c>
      <c r="O3">
        <v>21</v>
      </c>
      <c r="P3">
        <v>0.81250187499999993</v>
      </c>
    </row>
    <row r="4" spans="1:16" x14ac:dyDescent="0.2">
      <c r="A4" s="3">
        <v>2</v>
      </c>
      <c r="B4" s="4">
        <v>44295.562534722223</v>
      </c>
      <c r="C4">
        <v>93.05</v>
      </c>
      <c r="D4">
        <v>95.25</v>
      </c>
      <c r="E4">
        <v>96.5</v>
      </c>
      <c r="F4">
        <v>15</v>
      </c>
      <c r="G4">
        <v>3</v>
      </c>
      <c r="H4">
        <v>0.69531554687500008</v>
      </c>
      <c r="I4">
        <v>160</v>
      </c>
      <c r="J4" s="4">
        <v>44285.826643518521</v>
      </c>
      <c r="K4">
        <v>0.19</v>
      </c>
      <c r="L4">
        <v>0.01</v>
      </c>
      <c r="M4">
        <v>7.0000000000000007E-2</v>
      </c>
      <c r="N4">
        <v>6</v>
      </c>
      <c r="O4">
        <v>87</v>
      </c>
      <c r="P4">
        <v>0.73047144531249997</v>
      </c>
    </row>
    <row r="5" spans="1:16" x14ac:dyDescent="0.2">
      <c r="A5" s="3">
        <v>3</v>
      </c>
      <c r="B5" s="4">
        <v>44295.733078703714</v>
      </c>
      <c r="C5">
        <v>74.900000000000006</v>
      </c>
      <c r="D5">
        <v>75.3</v>
      </c>
      <c r="E5">
        <v>76.7</v>
      </c>
      <c r="F5">
        <v>3</v>
      </c>
      <c r="G5">
        <v>26</v>
      </c>
      <c r="H5">
        <v>0.65625343750000009</v>
      </c>
      <c r="I5">
        <v>180</v>
      </c>
      <c r="J5" s="4">
        <v>44295.743263888893</v>
      </c>
      <c r="K5">
        <v>0.09</v>
      </c>
      <c r="L5">
        <v>0.05</v>
      </c>
      <c r="M5">
        <v>0.1</v>
      </c>
      <c r="N5">
        <v>22</v>
      </c>
      <c r="O5">
        <v>223</v>
      </c>
      <c r="P5">
        <v>0.60156648437500015</v>
      </c>
    </row>
    <row r="6" spans="1:16" x14ac:dyDescent="0.2">
      <c r="A6" s="3">
        <v>4</v>
      </c>
      <c r="B6" s="4">
        <v>44280.757569444453</v>
      </c>
      <c r="C6">
        <v>47.61</v>
      </c>
      <c r="D6">
        <v>70.349999999999994</v>
      </c>
      <c r="E6">
        <v>71.400000000000006</v>
      </c>
      <c r="F6">
        <v>2</v>
      </c>
      <c r="G6">
        <v>4</v>
      </c>
      <c r="H6">
        <v>0.7490259472656251</v>
      </c>
      <c r="I6">
        <v>185</v>
      </c>
      <c r="J6" s="4">
        <v>44295.813333333332</v>
      </c>
      <c r="K6">
        <v>0.1</v>
      </c>
      <c r="L6">
        <v>7.0000000000000007E-2</v>
      </c>
      <c r="M6">
        <v>0.12</v>
      </c>
      <c r="N6">
        <v>121</v>
      </c>
      <c r="O6">
        <v>324</v>
      </c>
      <c r="P6">
        <v>0.57617611328124996</v>
      </c>
    </row>
    <row r="7" spans="1:16" x14ac:dyDescent="0.2">
      <c r="A7" s="3">
        <v>5</v>
      </c>
      <c r="B7" s="4">
        <v>44286.59747685185</v>
      </c>
      <c r="C7">
        <v>53.61</v>
      </c>
      <c r="D7">
        <v>60.45</v>
      </c>
      <c r="E7">
        <v>61.5</v>
      </c>
      <c r="F7">
        <v>11</v>
      </c>
      <c r="G7">
        <v>14</v>
      </c>
      <c r="H7">
        <v>0.50879397460937503</v>
      </c>
      <c r="I7">
        <v>195</v>
      </c>
      <c r="J7" s="4">
        <v>44295.803564814807</v>
      </c>
      <c r="K7">
        <v>0.18</v>
      </c>
      <c r="L7">
        <v>0.14000000000000001</v>
      </c>
      <c r="M7">
        <v>0.23</v>
      </c>
      <c r="N7">
        <v>5</v>
      </c>
      <c r="O7">
        <v>606</v>
      </c>
      <c r="P7">
        <v>0.53857883300781262</v>
      </c>
    </row>
    <row r="8" spans="1:16" x14ac:dyDescent="0.2">
      <c r="A8" s="3">
        <v>6</v>
      </c>
      <c r="B8" s="4">
        <v>44295.767685185187</v>
      </c>
      <c r="C8">
        <v>54.78</v>
      </c>
      <c r="D8">
        <v>55.45</v>
      </c>
      <c r="E8">
        <v>56.85</v>
      </c>
      <c r="F8">
        <v>10</v>
      </c>
      <c r="G8">
        <v>352</v>
      </c>
      <c r="H8">
        <v>0.53320779296874998</v>
      </c>
      <c r="I8">
        <v>200</v>
      </c>
      <c r="J8" s="4">
        <v>44295.833287037043</v>
      </c>
      <c r="K8">
        <v>0.2</v>
      </c>
      <c r="L8">
        <v>0.2</v>
      </c>
      <c r="M8">
        <v>0.25</v>
      </c>
      <c r="N8">
        <v>55</v>
      </c>
      <c r="O8">
        <v>797</v>
      </c>
      <c r="P8">
        <v>0.50977052734375006</v>
      </c>
    </row>
    <row r="9" spans="1:16" x14ac:dyDescent="0.2">
      <c r="A9" s="3">
        <v>7</v>
      </c>
      <c r="B9" s="4">
        <v>44295.71197916667</v>
      </c>
      <c r="C9">
        <v>49.83</v>
      </c>
      <c r="D9">
        <v>50.5</v>
      </c>
      <c r="E9">
        <v>51.9</v>
      </c>
      <c r="F9">
        <v>1</v>
      </c>
      <c r="G9">
        <v>23</v>
      </c>
      <c r="H9">
        <v>0.50049327636718755</v>
      </c>
      <c r="I9">
        <v>205</v>
      </c>
      <c r="J9" s="4">
        <v>44295.819178240738</v>
      </c>
      <c r="K9">
        <v>0.26</v>
      </c>
      <c r="L9">
        <v>0.25</v>
      </c>
      <c r="M9">
        <v>0.28000000000000003</v>
      </c>
      <c r="N9">
        <v>24</v>
      </c>
      <c r="O9">
        <v>984</v>
      </c>
      <c r="P9">
        <v>0.48193877441406252</v>
      </c>
    </row>
    <row r="10" spans="1:16" x14ac:dyDescent="0.2">
      <c r="A10" s="3">
        <v>8</v>
      </c>
      <c r="B10" s="4">
        <v>44292.819456018522</v>
      </c>
      <c r="C10">
        <v>47.26</v>
      </c>
      <c r="D10">
        <v>48.05</v>
      </c>
      <c r="E10">
        <v>49.25</v>
      </c>
      <c r="F10">
        <v>3</v>
      </c>
      <c r="G10">
        <v>70</v>
      </c>
      <c r="H10">
        <v>0.57617611328124996</v>
      </c>
      <c r="I10">
        <v>207.5</v>
      </c>
      <c r="J10" s="4">
        <v>44295.798206018517</v>
      </c>
      <c r="K10">
        <v>0.31</v>
      </c>
      <c r="L10">
        <v>0.25</v>
      </c>
      <c r="M10">
        <v>0.33</v>
      </c>
      <c r="N10">
        <v>7</v>
      </c>
      <c r="O10">
        <v>191</v>
      </c>
      <c r="P10">
        <v>0.47266152343750001</v>
      </c>
    </row>
    <row r="11" spans="1:16" x14ac:dyDescent="0.2">
      <c r="A11" s="3">
        <v>9</v>
      </c>
      <c r="B11" s="4">
        <v>44294.802974537037</v>
      </c>
      <c r="C11">
        <v>43.79</v>
      </c>
      <c r="D11">
        <v>45.65</v>
      </c>
      <c r="E11">
        <v>46.75</v>
      </c>
      <c r="F11">
        <v>2</v>
      </c>
      <c r="G11">
        <v>47</v>
      </c>
      <c r="H11">
        <v>0.54980918945312518</v>
      </c>
      <c r="I11">
        <v>210</v>
      </c>
      <c r="J11" s="4">
        <v>44295.83021990741</v>
      </c>
      <c r="K11">
        <v>0.36</v>
      </c>
      <c r="L11">
        <v>0.32</v>
      </c>
      <c r="M11">
        <v>0.36</v>
      </c>
      <c r="N11">
        <v>70</v>
      </c>
      <c r="O11">
        <v>568</v>
      </c>
      <c r="P11">
        <v>0.45703667968750011</v>
      </c>
    </row>
    <row r="12" spans="1:16" x14ac:dyDescent="0.2">
      <c r="A12" s="3">
        <v>10</v>
      </c>
      <c r="B12" s="4">
        <v>44294.669409722221</v>
      </c>
      <c r="C12">
        <v>41.05</v>
      </c>
      <c r="D12">
        <v>43.15</v>
      </c>
      <c r="E12">
        <v>44.2</v>
      </c>
      <c r="F12">
        <v>10</v>
      </c>
      <c r="G12">
        <v>43</v>
      </c>
      <c r="H12">
        <v>0.51660639648437501</v>
      </c>
      <c r="I12">
        <v>212.5</v>
      </c>
      <c r="J12" s="4">
        <v>44295.821875000001</v>
      </c>
      <c r="K12">
        <v>0.37</v>
      </c>
      <c r="L12">
        <v>0.31</v>
      </c>
      <c r="M12">
        <v>0.38</v>
      </c>
      <c r="N12">
        <v>11</v>
      </c>
      <c r="O12">
        <v>561</v>
      </c>
      <c r="P12">
        <v>0.43799390136718752</v>
      </c>
    </row>
    <row r="13" spans="1:16" x14ac:dyDescent="0.2">
      <c r="A13" s="3">
        <v>11</v>
      </c>
      <c r="B13" s="4">
        <v>44291.824201388888</v>
      </c>
      <c r="C13">
        <v>34.17</v>
      </c>
      <c r="D13">
        <v>40.65</v>
      </c>
      <c r="E13">
        <v>41.8</v>
      </c>
      <c r="F13">
        <v>10</v>
      </c>
      <c r="G13">
        <v>14</v>
      </c>
      <c r="H13">
        <v>0.50342293457031251</v>
      </c>
      <c r="I13">
        <v>215</v>
      </c>
      <c r="J13" s="4">
        <v>44295.83021990741</v>
      </c>
      <c r="K13">
        <v>0.4</v>
      </c>
      <c r="L13">
        <v>0.4</v>
      </c>
      <c r="M13">
        <v>0.44</v>
      </c>
      <c r="N13">
        <v>193</v>
      </c>
      <c r="O13">
        <v>991</v>
      </c>
      <c r="P13">
        <v>0.42676354492187513</v>
      </c>
    </row>
    <row r="14" spans="1:16" x14ac:dyDescent="0.2">
      <c r="A14" s="3">
        <v>12</v>
      </c>
      <c r="B14" s="4">
        <v>44295.678564814807</v>
      </c>
      <c r="C14">
        <v>37.82</v>
      </c>
      <c r="D14">
        <v>38.200000000000003</v>
      </c>
      <c r="E14">
        <v>39.549999999999997</v>
      </c>
      <c r="F14">
        <v>1</v>
      </c>
      <c r="G14">
        <v>36</v>
      </c>
      <c r="H14">
        <v>0.50586431640624996</v>
      </c>
      <c r="I14">
        <v>217.5</v>
      </c>
      <c r="J14" s="4">
        <v>44295.797592592593</v>
      </c>
      <c r="K14">
        <v>0.46</v>
      </c>
      <c r="L14">
        <v>0.38</v>
      </c>
      <c r="M14">
        <v>0.49</v>
      </c>
      <c r="N14">
        <v>27</v>
      </c>
      <c r="O14">
        <v>1168</v>
      </c>
      <c r="P14">
        <v>0.41211525390624998</v>
      </c>
    </row>
    <row r="15" spans="1:16" x14ac:dyDescent="0.2">
      <c r="A15" s="3">
        <v>13</v>
      </c>
      <c r="B15" s="4">
        <v>44295.596099537041</v>
      </c>
      <c r="C15">
        <v>34.56</v>
      </c>
      <c r="D15">
        <v>35.700000000000003</v>
      </c>
      <c r="E15">
        <v>37.1</v>
      </c>
      <c r="F15">
        <v>6</v>
      </c>
      <c r="G15">
        <v>119</v>
      </c>
      <c r="H15">
        <v>0.48364774169921881</v>
      </c>
      <c r="I15">
        <v>220</v>
      </c>
      <c r="J15" s="4">
        <v>44295.832129629627</v>
      </c>
      <c r="K15">
        <v>0.48</v>
      </c>
      <c r="L15">
        <v>0.45</v>
      </c>
      <c r="M15">
        <v>0.49</v>
      </c>
      <c r="N15">
        <v>66</v>
      </c>
      <c r="O15">
        <v>1266</v>
      </c>
      <c r="P15">
        <v>0.38867798828125</v>
      </c>
    </row>
    <row r="16" spans="1:16" x14ac:dyDescent="0.2">
      <c r="A16" s="3">
        <v>14</v>
      </c>
      <c r="B16" s="4">
        <v>44294.653437499997</v>
      </c>
      <c r="C16">
        <v>30.9</v>
      </c>
      <c r="D16">
        <v>33.299999999999997</v>
      </c>
      <c r="E16">
        <v>34.65</v>
      </c>
      <c r="F16">
        <v>8</v>
      </c>
      <c r="G16">
        <v>8</v>
      </c>
      <c r="H16">
        <v>0.4611870288085938</v>
      </c>
      <c r="I16">
        <v>222.5</v>
      </c>
      <c r="J16" s="4">
        <v>44295.817118055558</v>
      </c>
      <c r="K16">
        <v>0.56000000000000005</v>
      </c>
      <c r="L16">
        <v>0.5</v>
      </c>
      <c r="M16">
        <v>0.59</v>
      </c>
      <c r="N16">
        <v>21</v>
      </c>
      <c r="O16">
        <v>596</v>
      </c>
      <c r="P16">
        <v>0.379889013671875</v>
      </c>
    </row>
    <row r="17" spans="1:16" x14ac:dyDescent="0.2">
      <c r="A17" s="3">
        <v>15</v>
      </c>
      <c r="B17" s="4">
        <v>44295.741701388892</v>
      </c>
      <c r="C17">
        <v>30.46</v>
      </c>
      <c r="D17">
        <v>31.1</v>
      </c>
      <c r="E17">
        <v>31.8</v>
      </c>
      <c r="F17">
        <v>6</v>
      </c>
      <c r="G17">
        <v>220</v>
      </c>
      <c r="H17">
        <v>0.39844351562500002</v>
      </c>
      <c r="I17">
        <v>225</v>
      </c>
      <c r="J17" s="4">
        <v>44295.833113425928</v>
      </c>
      <c r="K17">
        <v>0.6</v>
      </c>
      <c r="L17">
        <v>0.55000000000000004</v>
      </c>
      <c r="M17">
        <v>0.67</v>
      </c>
      <c r="N17">
        <v>70</v>
      </c>
      <c r="O17">
        <v>1115</v>
      </c>
      <c r="P17">
        <v>0.36597313720703117</v>
      </c>
    </row>
    <row r="18" spans="1:16" x14ac:dyDescent="0.2">
      <c r="A18" s="3">
        <v>16</v>
      </c>
      <c r="B18" s="4">
        <v>44293.784861111111</v>
      </c>
      <c r="C18">
        <v>24.1</v>
      </c>
      <c r="D18">
        <v>28.45</v>
      </c>
      <c r="E18">
        <v>29.8</v>
      </c>
      <c r="F18">
        <v>2</v>
      </c>
      <c r="G18">
        <v>79</v>
      </c>
      <c r="H18">
        <v>0.41895112304687498</v>
      </c>
      <c r="I18">
        <v>227.5</v>
      </c>
      <c r="J18" s="4">
        <v>44295.82576388889</v>
      </c>
      <c r="K18">
        <v>0.68</v>
      </c>
      <c r="L18">
        <v>0.62</v>
      </c>
      <c r="M18">
        <v>0.75</v>
      </c>
      <c r="N18">
        <v>240</v>
      </c>
      <c r="O18">
        <v>703</v>
      </c>
      <c r="P18">
        <v>0.35059243164062492</v>
      </c>
    </row>
    <row r="19" spans="1:16" x14ac:dyDescent="0.2">
      <c r="A19" s="3">
        <v>17</v>
      </c>
      <c r="B19" s="4">
        <v>44295.804467592592</v>
      </c>
      <c r="C19">
        <v>25.3</v>
      </c>
      <c r="D19">
        <v>26.2</v>
      </c>
      <c r="E19">
        <v>27.1</v>
      </c>
      <c r="F19">
        <v>5</v>
      </c>
      <c r="G19">
        <v>386</v>
      </c>
      <c r="H19">
        <v>0.3737855590820312</v>
      </c>
      <c r="I19">
        <v>230</v>
      </c>
      <c r="J19" s="4">
        <v>44295.826203703713</v>
      </c>
      <c r="K19">
        <v>0.83</v>
      </c>
      <c r="L19">
        <v>0.75</v>
      </c>
      <c r="M19">
        <v>0.86</v>
      </c>
      <c r="N19">
        <v>147</v>
      </c>
      <c r="O19">
        <v>1469</v>
      </c>
      <c r="P19">
        <v>0.33716483154296878</v>
      </c>
    </row>
    <row r="20" spans="1:16" x14ac:dyDescent="0.2">
      <c r="A20" s="3">
        <v>18</v>
      </c>
      <c r="B20" s="4">
        <v>44295.816168981481</v>
      </c>
      <c r="C20">
        <v>23.72</v>
      </c>
      <c r="D20">
        <v>23.75</v>
      </c>
      <c r="E20">
        <v>24.75</v>
      </c>
      <c r="F20">
        <v>13</v>
      </c>
      <c r="G20">
        <v>311</v>
      </c>
      <c r="H20">
        <v>0.3582827844238281</v>
      </c>
      <c r="I20">
        <v>232.5</v>
      </c>
      <c r="J20" s="4">
        <v>44295.831990740742</v>
      </c>
      <c r="K20">
        <v>0.93</v>
      </c>
      <c r="L20">
        <v>0.87</v>
      </c>
      <c r="M20">
        <v>1.02</v>
      </c>
      <c r="N20">
        <v>45</v>
      </c>
      <c r="O20">
        <v>573</v>
      </c>
      <c r="P20">
        <v>0.32617861328124997</v>
      </c>
    </row>
    <row r="21" spans="1:16" x14ac:dyDescent="0.2">
      <c r="A21" s="3">
        <v>19</v>
      </c>
      <c r="B21" s="4">
        <v>44295.829699074071</v>
      </c>
      <c r="C21">
        <v>21.5</v>
      </c>
      <c r="D21">
        <v>21.55</v>
      </c>
      <c r="E21">
        <v>22.3</v>
      </c>
      <c r="F21">
        <v>81</v>
      </c>
      <c r="G21">
        <v>716</v>
      </c>
      <c r="H21">
        <v>0.3336248278808594</v>
      </c>
      <c r="I21">
        <v>235</v>
      </c>
      <c r="J21" s="4">
        <v>44295.83021990741</v>
      </c>
      <c r="K21">
        <v>1.05</v>
      </c>
      <c r="L21">
        <v>1.05</v>
      </c>
      <c r="M21">
        <v>1.1599999999999999</v>
      </c>
      <c r="N21">
        <v>1141</v>
      </c>
      <c r="O21">
        <v>1454</v>
      </c>
      <c r="P21">
        <v>0.31104204589843742</v>
      </c>
    </row>
    <row r="22" spans="1:16" x14ac:dyDescent="0.2">
      <c r="A22" s="3">
        <v>20</v>
      </c>
      <c r="B22" s="4">
        <v>44295.831944444442</v>
      </c>
      <c r="C22">
        <v>19.59</v>
      </c>
      <c r="D22">
        <v>19.149999999999999</v>
      </c>
      <c r="E22">
        <v>20</v>
      </c>
      <c r="F22">
        <v>16</v>
      </c>
      <c r="G22">
        <v>1355</v>
      </c>
      <c r="H22">
        <v>0.3186103295898437</v>
      </c>
      <c r="I22">
        <v>237.5</v>
      </c>
      <c r="J22" s="4">
        <v>44295.831689814811</v>
      </c>
      <c r="K22">
        <v>1.27</v>
      </c>
      <c r="L22">
        <v>0.38</v>
      </c>
      <c r="M22">
        <v>1.37</v>
      </c>
      <c r="N22">
        <v>185</v>
      </c>
      <c r="O22">
        <v>551</v>
      </c>
      <c r="P22">
        <v>0.29907927490234371</v>
      </c>
    </row>
    <row r="23" spans="1:16" x14ac:dyDescent="0.2">
      <c r="A23" s="3">
        <v>21</v>
      </c>
      <c r="B23" s="4">
        <v>44295.827210648153</v>
      </c>
      <c r="C23">
        <v>16.91</v>
      </c>
      <c r="D23">
        <v>16.95</v>
      </c>
      <c r="E23">
        <v>17.75</v>
      </c>
      <c r="F23">
        <v>576</v>
      </c>
      <c r="G23">
        <v>2449</v>
      </c>
      <c r="H23">
        <v>0.30445031494140617</v>
      </c>
      <c r="I23">
        <v>240</v>
      </c>
      <c r="J23" s="4">
        <v>44295.832777777781</v>
      </c>
      <c r="K23">
        <v>1.57</v>
      </c>
      <c r="L23">
        <v>1.5</v>
      </c>
      <c r="M23">
        <v>1.65</v>
      </c>
      <c r="N23">
        <v>314</v>
      </c>
      <c r="O23">
        <v>645</v>
      </c>
      <c r="P23">
        <v>0.28870340209960932</v>
      </c>
    </row>
    <row r="24" spans="1:16" x14ac:dyDescent="0.2">
      <c r="A24" s="3">
        <v>22</v>
      </c>
      <c r="B24" s="4">
        <v>44295.818391203713</v>
      </c>
      <c r="C24">
        <v>14.7</v>
      </c>
      <c r="D24">
        <v>14.9</v>
      </c>
      <c r="E24">
        <v>15.7</v>
      </c>
      <c r="F24">
        <v>87</v>
      </c>
      <c r="G24">
        <v>695</v>
      </c>
      <c r="H24">
        <v>0.29871306762695299</v>
      </c>
      <c r="I24">
        <v>242.5</v>
      </c>
      <c r="J24" s="4">
        <v>44295.80028935185</v>
      </c>
      <c r="K24">
        <v>2</v>
      </c>
      <c r="L24">
        <v>1.86</v>
      </c>
      <c r="M24">
        <v>2</v>
      </c>
      <c r="N24">
        <v>154</v>
      </c>
      <c r="O24">
        <v>278</v>
      </c>
      <c r="P24">
        <v>0.27899890930175769</v>
      </c>
    </row>
    <row r="25" spans="1:16" x14ac:dyDescent="0.2">
      <c r="A25" s="3">
        <v>23</v>
      </c>
      <c r="B25" s="4">
        <v>44295.832025462973</v>
      </c>
      <c r="C25">
        <v>13.13</v>
      </c>
      <c r="D25">
        <v>12.95</v>
      </c>
      <c r="E25">
        <v>13.55</v>
      </c>
      <c r="F25">
        <v>163</v>
      </c>
      <c r="G25">
        <v>2202</v>
      </c>
      <c r="H25">
        <v>0.2834544311523437</v>
      </c>
      <c r="I25">
        <v>245</v>
      </c>
      <c r="J25" s="4">
        <v>44295.833020833343</v>
      </c>
      <c r="K25">
        <v>2.48</v>
      </c>
      <c r="L25">
        <v>2.27</v>
      </c>
      <c r="M25">
        <v>2.48</v>
      </c>
      <c r="N25">
        <v>301</v>
      </c>
      <c r="O25">
        <v>690</v>
      </c>
      <c r="P25">
        <v>0.27210200561523429</v>
      </c>
    </row>
    <row r="26" spans="1:16" x14ac:dyDescent="0.2">
      <c r="A26" s="3">
        <v>24</v>
      </c>
      <c r="B26" s="4">
        <v>44295.832303240742</v>
      </c>
      <c r="C26">
        <v>11.4</v>
      </c>
      <c r="D26">
        <v>11.35</v>
      </c>
      <c r="E26">
        <v>11.7</v>
      </c>
      <c r="F26">
        <v>717</v>
      </c>
      <c r="G26">
        <v>2522</v>
      </c>
      <c r="H26">
        <v>0.27887684020996101</v>
      </c>
      <c r="I26">
        <v>247.5</v>
      </c>
      <c r="J26" s="4">
        <v>44295.833020833343</v>
      </c>
      <c r="K26">
        <v>3.08</v>
      </c>
      <c r="L26">
        <v>2.82</v>
      </c>
      <c r="M26">
        <v>3.25</v>
      </c>
      <c r="N26">
        <v>303</v>
      </c>
      <c r="O26">
        <v>423</v>
      </c>
      <c r="P26">
        <v>0.27423821472167959</v>
      </c>
    </row>
    <row r="27" spans="1:16" x14ac:dyDescent="0.2">
      <c r="A27" s="3">
        <v>25</v>
      </c>
      <c r="B27" s="4">
        <v>44295.829386574071</v>
      </c>
      <c r="C27">
        <v>9.23</v>
      </c>
      <c r="D27">
        <v>9.5</v>
      </c>
      <c r="E27">
        <v>9.9499999999999993</v>
      </c>
      <c r="F27">
        <v>838</v>
      </c>
      <c r="G27">
        <v>9356</v>
      </c>
      <c r="H27">
        <v>0.27344476562499997</v>
      </c>
      <c r="I27">
        <v>250</v>
      </c>
      <c r="J27" s="4">
        <v>44295.831053240741</v>
      </c>
      <c r="K27">
        <v>3.85</v>
      </c>
      <c r="L27">
        <v>3.65</v>
      </c>
      <c r="M27">
        <v>3.9</v>
      </c>
      <c r="N27">
        <v>314</v>
      </c>
      <c r="O27">
        <v>522</v>
      </c>
      <c r="P27">
        <v>0.26465579101562497</v>
      </c>
    </row>
    <row r="28" spans="1:16" x14ac:dyDescent="0.2">
      <c r="A28" s="3">
        <v>26</v>
      </c>
      <c r="B28" s="4">
        <v>44295.831041666657</v>
      </c>
      <c r="C28">
        <v>8.15</v>
      </c>
      <c r="D28">
        <v>8</v>
      </c>
      <c r="E28">
        <v>8.3000000000000007</v>
      </c>
      <c r="F28">
        <v>314</v>
      </c>
      <c r="G28">
        <v>1245</v>
      </c>
      <c r="H28">
        <v>0.26673096557617187</v>
      </c>
      <c r="I28">
        <v>252.5</v>
      </c>
      <c r="J28" s="4">
        <v>44295.830833333333</v>
      </c>
      <c r="K28">
        <v>4.5999999999999996</v>
      </c>
      <c r="L28">
        <v>4.55</v>
      </c>
      <c r="M28">
        <v>4.8</v>
      </c>
      <c r="N28">
        <v>171</v>
      </c>
      <c r="O28">
        <v>65</v>
      </c>
      <c r="P28">
        <v>0.26050544189453118</v>
      </c>
    </row>
    <row r="29" spans="1:16" x14ac:dyDescent="0.2">
      <c r="A29" s="3">
        <v>27</v>
      </c>
      <c r="B29" s="4">
        <v>44295.83252314815</v>
      </c>
      <c r="C29">
        <v>6.65</v>
      </c>
      <c r="D29">
        <v>6.5</v>
      </c>
      <c r="E29">
        <v>6.75</v>
      </c>
      <c r="F29">
        <v>1537</v>
      </c>
      <c r="G29">
        <v>2640</v>
      </c>
      <c r="H29">
        <v>0.25843026733398439</v>
      </c>
      <c r="I29">
        <v>255</v>
      </c>
      <c r="J29" s="4">
        <v>44295.828541666669</v>
      </c>
      <c r="K29">
        <v>6.05</v>
      </c>
      <c r="L29">
        <v>5.55</v>
      </c>
      <c r="M29">
        <v>5.95</v>
      </c>
      <c r="N29">
        <v>143</v>
      </c>
      <c r="O29">
        <v>78</v>
      </c>
      <c r="P29">
        <v>0.26050544189453118</v>
      </c>
    </row>
    <row r="30" spans="1:16" x14ac:dyDescent="0.2">
      <c r="A30" s="3">
        <v>28</v>
      </c>
      <c r="B30" s="4">
        <v>44295.832881944443</v>
      </c>
      <c r="C30">
        <v>5.45</v>
      </c>
      <c r="D30">
        <v>5.35</v>
      </c>
      <c r="E30">
        <v>5.5</v>
      </c>
      <c r="F30">
        <v>465</v>
      </c>
      <c r="G30">
        <v>4182</v>
      </c>
      <c r="H30">
        <v>0.25611095458984379</v>
      </c>
      <c r="I30">
        <v>257.5</v>
      </c>
      <c r="J30" s="4">
        <v>44295.694710648153</v>
      </c>
      <c r="K30">
        <v>7</v>
      </c>
      <c r="L30">
        <v>6.85</v>
      </c>
      <c r="M30">
        <v>7.2</v>
      </c>
      <c r="N30">
        <v>61</v>
      </c>
      <c r="O30">
        <v>142</v>
      </c>
      <c r="P30">
        <v>0.25824716369628908</v>
      </c>
    </row>
    <row r="31" spans="1:16" x14ac:dyDescent="0.2">
      <c r="A31" s="3">
        <v>29</v>
      </c>
      <c r="B31" s="4">
        <v>44295.832743055558</v>
      </c>
      <c r="C31">
        <v>4.3</v>
      </c>
      <c r="D31">
        <v>4.1500000000000004</v>
      </c>
      <c r="E31">
        <v>4.4000000000000004</v>
      </c>
      <c r="F31">
        <v>1457</v>
      </c>
      <c r="G31">
        <v>3352</v>
      </c>
      <c r="H31">
        <v>0.25354750366210937</v>
      </c>
      <c r="I31">
        <v>260</v>
      </c>
      <c r="J31" s="4">
        <v>44295.832511574074</v>
      </c>
      <c r="K31">
        <v>8.5</v>
      </c>
      <c r="L31">
        <v>8.1</v>
      </c>
      <c r="M31">
        <v>8.5500000000000007</v>
      </c>
      <c r="N31">
        <v>15</v>
      </c>
      <c r="O31">
        <v>165</v>
      </c>
      <c r="P31">
        <v>0.25360853820800788</v>
      </c>
    </row>
    <row r="32" spans="1:16" x14ac:dyDescent="0.2">
      <c r="A32" s="3">
        <v>30</v>
      </c>
      <c r="B32" s="4">
        <v>44295.832442129627</v>
      </c>
      <c r="C32">
        <v>3.43</v>
      </c>
      <c r="D32">
        <v>3.35</v>
      </c>
      <c r="E32">
        <v>3.45</v>
      </c>
      <c r="F32">
        <v>581</v>
      </c>
      <c r="G32">
        <v>1402</v>
      </c>
      <c r="H32">
        <v>0.25073991455078121</v>
      </c>
      <c r="I32">
        <v>262.5</v>
      </c>
      <c r="J32" s="4">
        <v>44294.823703703703</v>
      </c>
      <c r="K32">
        <v>11.87</v>
      </c>
      <c r="L32">
        <v>0</v>
      </c>
      <c r="M32">
        <v>0</v>
      </c>
      <c r="N32">
        <v>17</v>
      </c>
      <c r="O32">
        <v>0</v>
      </c>
      <c r="P32">
        <v>1.0000000000000001E-5</v>
      </c>
    </row>
    <row r="33" spans="1:16" x14ac:dyDescent="0.2">
      <c r="A33" s="3">
        <v>31</v>
      </c>
      <c r="B33" s="4">
        <v>44295.83152777778</v>
      </c>
      <c r="C33">
        <v>2.7</v>
      </c>
      <c r="D33">
        <v>2.6</v>
      </c>
      <c r="E33">
        <v>2.75</v>
      </c>
      <c r="F33">
        <v>602</v>
      </c>
      <c r="G33">
        <v>1714</v>
      </c>
      <c r="H33">
        <v>0.25269302001953131</v>
      </c>
      <c r="I33">
        <v>265</v>
      </c>
      <c r="J33" s="4">
        <v>44294.823703703703</v>
      </c>
      <c r="K33">
        <v>12.85</v>
      </c>
      <c r="L33">
        <v>11.6</v>
      </c>
      <c r="M33">
        <v>12.25</v>
      </c>
      <c r="N33">
        <v>3</v>
      </c>
      <c r="O33">
        <v>7</v>
      </c>
      <c r="P33">
        <v>0.26917234741210938</v>
      </c>
    </row>
    <row r="34" spans="1:16" x14ac:dyDescent="0.2">
      <c r="A34" s="3">
        <v>32</v>
      </c>
      <c r="B34" s="4">
        <v>44294.828472222223</v>
      </c>
      <c r="C34">
        <v>1.6</v>
      </c>
      <c r="D34">
        <v>0</v>
      </c>
      <c r="E34">
        <v>0</v>
      </c>
      <c r="F34">
        <v>182</v>
      </c>
      <c r="H34">
        <v>3.1259687500000001E-2</v>
      </c>
      <c r="I34">
        <v>267.5</v>
      </c>
    </row>
    <row r="35" spans="1:16" x14ac:dyDescent="0.2">
      <c r="A35" s="3">
        <v>33</v>
      </c>
      <c r="B35" s="4">
        <v>44295.833240740743</v>
      </c>
      <c r="C35">
        <v>1.64</v>
      </c>
      <c r="D35">
        <v>1.47</v>
      </c>
      <c r="E35">
        <v>1.65</v>
      </c>
      <c r="F35">
        <v>393</v>
      </c>
      <c r="G35">
        <v>918</v>
      </c>
      <c r="H35">
        <v>0.25354750366210937</v>
      </c>
      <c r="I35">
        <v>270</v>
      </c>
      <c r="J35" s="4">
        <v>44294.598981481482</v>
      </c>
      <c r="K35">
        <v>17.7</v>
      </c>
      <c r="L35">
        <v>0</v>
      </c>
      <c r="M35">
        <v>0</v>
      </c>
      <c r="N35">
        <v>1</v>
      </c>
      <c r="O35">
        <v>0</v>
      </c>
      <c r="P35">
        <v>1.0000000000000001E-5</v>
      </c>
    </row>
    <row r="36" spans="1:16" x14ac:dyDescent="0.2">
      <c r="A36" s="3">
        <v>34</v>
      </c>
      <c r="B36" s="4">
        <v>44294.80804398148</v>
      </c>
      <c r="C36">
        <v>1</v>
      </c>
      <c r="D36">
        <v>0</v>
      </c>
      <c r="E36">
        <v>0</v>
      </c>
      <c r="F36">
        <v>57</v>
      </c>
      <c r="H36">
        <v>6.2509375000000006E-2</v>
      </c>
      <c r="I36">
        <v>272.5</v>
      </c>
    </row>
    <row r="37" spans="1:16" x14ac:dyDescent="0.2">
      <c r="A37" s="3">
        <v>35</v>
      </c>
      <c r="B37" s="4">
        <v>44295.833020833343</v>
      </c>
      <c r="C37">
        <v>1.02</v>
      </c>
      <c r="D37">
        <v>0.96</v>
      </c>
      <c r="E37">
        <v>1.05</v>
      </c>
      <c r="F37">
        <v>993</v>
      </c>
      <c r="G37">
        <v>1305</v>
      </c>
      <c r="H37">
        <v>0.26294682373046879</v>
      </c>
      <c r="I37">
        <v>275</v>
      </c>
      <c r="J37" s="4">
        <v>44294.566782407397</v>
      </c>
      <c r="K37">
        <v>22.5</v>
      </c>
      <c r="L37">
        <v>19.5</v>
      </c>
      <c r="M37">
        <v>20.65</v>
      </c>
      <c r="N37">
        <v>28</v>
      </c>
      <c r="O37">
        <v>57</v>
      </c>
      <c r="P37">
        <v>0.29480685668945311</v>
      </c>
    </row>
    <row r="38" spans="1:16" x14ac:dyDescent="0.2">
      <c r="A38" s="3">
        <v>36</v>
      </c>
      <c r="B38" s="4">
        <v>44295.833275462966</v>
      </c>
      <c r="C38">
        <v>0.67</v>
      </c>
      <c r="D38">
        <v>0.6</v>
      </c>
      <c r="E38">
        <v>0.69</v>
      </c>
      <c r="F38">
        <v>232</v>
      </c>
      <c r="G38">
        <v>807</v>
      </c>
      <c r="H38">
        <v>0.274421318359375</v>
      </c>
      <c r="I38">
        <v>280</v>
      </c>
      <c r="J38" s="4">
        <v>44293.618287037039</v>
      </c>
      <c r="K38">
        <v>30</v>
      </c>
      <c r="L38">
        <v>24.05</v>
      </c>
      <c r="M38">
        <v>25.35</v>
      </c>
      <c r="N38">
        <v>9</v>
      </c>
      <c r="O38">
        <v>10</v>
      </c>
      <c r="P38">
        <v>0.31909860595703121</v>
      </c>
    </row>
    <row r="39" spans="1:16" x14ac:dyDescent="0.2">
      <c r="A39" s="3">
        <v>37</v>
      </c>
      <c r="B39" s="4">
        <v>44295.812962962962</v>
      </c>
      <c r="C39">
        <v>0.43</v>
      </c>
      <c r="D39">
        <v>0.41</v>
      </c>
      <c r="E39">
        <v>0.48</v>
      </c>
      <c r="F39">
        <v>56</v>
      </c>
      <c r="G39">
        <v>339</v>
      </c>
      <c r="H39">
        <v>0.28882547119140622</v>
      </c>
      <c r="I39">
        <v>285</v>
      </c>
      <c r="J39" s="4">
        <v>44284.598263888889</v>
      </c>
      <c r="K39">
        <v>52.6</v>
      </c>
      <c r="L39">
        <v>29.2</v>
      </c>
      <c r="M39">
        <v>30.2</v>
      </c>
      <c r="O39">
        <v>8</v>
      </c>
      <c r="P39">
        <v>0.34888346435546869</v>
      </c>
    </row>
    <row r="40" spans="1:16" x14ac:dyDescent="0.2">
      <c r="A40" s="3">
        <v>38</v>
      </c>
      <c r="B40" s="4">
        <v>44295.819594907407</v>
      </c>
      <c r="C40">
        <v>0.34</v>
      </c>
      <c r="D40">
        <v>0.28999999999999998</v>
      </c>
      <c r="E40">
        <v>0.39</v>
      </c>
      <c r="F40">
        <v>69</v>
      </c>
      <c r="G40">
        <v>211</v>
      </c>
      <c r="H40">
        <v>0.31104204589843742</v>
      </c>
      <c r="I40">
        <v>290</v>
      </c>
    </row>
    <row r="41" spans="1:16" x14ac:dyDescent="0.2">
      <c r="A41" s="3">
        <v>39</v>
      </c>
      <c r="B41" s="4">
        <v>44295.77684027778</v>
      </c>
      <c r="C41">
        <v>0.24</v>
      </c>
      <c r="D41">
        <v>0.22</v>
      </c>
      <c r="E41">
        <v>0.27</v>
      </c>
      <c r="F41">
        <v>14</v>
      </c>
      <c r="G41">
        <v>38</v>
      </c>
      <c r="H41">
        <v>0.32178412597656247</v>
      </c>
      <c r="I41">
        <v>295</v>
      </c>
    </row>
    <row r="42" spans="1:16" x14ac:dyDescent="0.2">
      <c r="A42" s="3">
        <v>40</v>
      </c>
      <c r="B42" s="4">
        <v>44295.819131944438</v>
      </c>
      <c r="C42">
        <v>0.22</v>
      </c>
      <c r="D42">
        <v>0.16</v>
      </c>
      <c r="E42">
        <v>0.23</v>
      </c>
      <c r="F42">
        <v>43</v>
      </c>
      <c r="G42">
        <v>130</v>
      </c>
      <c r="H42">
        <v>0.34278000976562489</v>
      </c>
      <c r="I42">
        <v>300</v>
      </c>
    </row>
    <row r="43" spans="1:16" x14ac:dyDescent="0.2">
      <c r="A43" s="3">
        <v>41</v>
      </c>
      <c r="B43" s="4">
        <v>44294.774224537039</v>
      </c>
      <c r="C43">
        <v>0.18</v>
      </c>
      <c r="D43">
        <v>0.13</v>
      </c>
      <c r="E43">
        <v>0.21</v>
      </c>
      <c r="F43">
        <v>29</v>
      </c>
      <c r="G43">
        <v>446</v>
      </c>
      <c r="H43">
        <v>0.3667055517578125</v>
      </c>
      <c r="I43">
        <v>305</v>
      </c>
    </row>
    <row r="44" spans="1:16" x14ac:dyDescent="0.2">
      <c r="A44" s="3">
        <v>42</v>
      </c>
      <c r="B44" s="4">
        <v>44293.830891203703</v>
      </c>
      <c r="C44">
        <v>0.12</v>
      </c>
      <c r="D44">
        <v>0</v>
      </c>
      <c r="E44">
        <v>0</v>
      </c>
      <c r="G44">
        <v>0</v>
      </c>
      <c r="H44">
        <v>0.12500875</v>
      </c>
      <c r="I44">
        <v>310</v>
      </c>
    </row>
    <row r="45" spans="1:16" x14ac:dyDescent="0.2">
      <c r="A45" s="3">
        <v>43</v>
      </c>
      <c r="B45" s="4">
        <v>44294.826585648138</v>
      </c>
      <c r="C45">
        <v>0.15</v>
      </c>
      <c r="D45">
        <v>0</v>
      </c>
      <c r="E45">
        <v>0</v>
      </c>
      <c r="F45">
        <v>6</v>
      </c>
      <c r="G45">
        <v>0</v>
      </c>
      <c r="H45">
        <v>0.12500875</v>
      </c>
      <c r="I45">
        <v>315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P41"/>
  <sheetViews>
    <sheetView workbookViewId="0">
      <selection activeCell="B5" sqref="B5"/>
    </sheetView>
  </sheetViews>
  <sheetFormatPr baseColWidth="10" defaultColWidth="8.83203125" defaultRowHeight="16" x14ac:dyDescent="0.2"/>
  <cols>
    <col min="2" max="2" width="20.83203125" customWidth="1"/>
  </cols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44295.823495370372</v>
      </c>
      <c r="C2">
        <v>115.06</v>
      </c>
      <c r="D2">
        <v>115.2</v>
      </c>
      <c r="E2">
        <v>116.6</v>
      </c>
      <c r="F2">
        <v>32</v>
      </c>
      <c r="G2">
        <v>1</v>
      </c>
      <c r="H2">
        <v>0.81250187499999993</v>
      </c>
      <c r="I2">
        <v>140</v>
      </c>
      <c r="J2" s="4">
        <v>44284.564004629632</v>
      </c>
      <c r="K2">
        <v>0.18</v>
      </c>
      <c r="L2">
        <v>0</v>
      </c>
      <c r="M2">
        <v>0.06</v>
      </c>
      <c r="O2">
        <v>3</v>
      </c>
      <c r="P2">
        <v>0.77343976562500005</v>
      </c>
    </row>
    <row r="3" spans="1:16" x14ac:dyDescent="0.2">
      <c r="A3" s="3">
        <v>1</v>
      </c>
      <c r="B3" s="4">
        <v>44294.562581018523</v>
      </c>
      <c r="C3">
        <v>102.5</v>
      </c>
      <c r="D3">
        <v>0</v>
      </c>
      <c r="E3">
        <v>0</v>
      </c>
      <c r="F3">
        <v>8</v>
      </c>
      <c r="G3">
        <v>0</v>
      </c>
      <c r="H3">
        <v>1.0000000000000001E-5</v>
      </c>
      <c r="I3">
        <v>150</v>
      </c>
      <c r="J3" s="4">
        <v>44294.615451388891</v>
      </c>
      <c r="K3">
        <v>0.05</v>
      </c>
      <c r="L3">
        <v>0</v>
      </c>
      <c r="M3">
        <v>0.08</v>
      </c>
      <c r="N3">
        <v>5</v>
      </c>
      <c r="O3">
        <v>31</v>
      </c>
      <c r="P3">
        <v>0.71094039062500003</v>
      </c>
    </row>
    <row r="4" spans="1:16" x14ac:dyDescent="0.2">
      <c r="A4" s="3">
        <v>2</v>
      </c>
      <c r="B4" s="4">
        <v>44293.602870370371</v>
      </c>
      <c r="C4">
        <v>94.35</v>
      </c>
      <c r="D4">
        <v>94.35</v>
      </c>
      <c r="E4">
        <v>97.7</v>
      </c>
      <c r="F4">
        <v>8</v>
      </c>
      <c r="G4">
        <v>8</v>
      </c>
      <c r="H4">
        <v>0.75097905273437493</v>
      </c>
      <c r="I4">
        <v>160</v>
      </c>
    </row>
    <row r="5" spans="1:16" x14ac:dyDescent="0.2">
      <c r="A5" s="3">
        <v>3</v>
      </c>
      <c r="B5" s="4">
        <v>44284.660509259258</v>
      </c>
      <c r="C5">
        <v>59.45</v>
      </c>
      <c r="D5">
        <v>78.599999999999994</v>
      </c>
      <c r="E5">
        <v>82.8</v>
      </c>
      <c r="G5">
        <v>4</v>
      </c>
      <c r="H5">
        <v>0.96289099609374995</v>
      </c>
      <c r="I5">
        <v>175</v>
      </c>
      <c r="J5" s="4">
        <v>44295.663472222222</v>
      </c>
      <c r="K5">
        <v>0.13</v>
      </c>
      <c r="L5">
        <v>0</v>
      </c>
      <c r="M5">
        <v>0.17</v>
      </c>
      <c r="N5">
        <v>20</v>
      </c>
      <c r="O5">
        <v>4</v>
      </c>
      <c r="P5">
        <v>0.56641058593750004</v>
      </c>
    </row>
    <row r="6" spans="1:16" x14ac:dyDescent="0.2">
      <c r="A6" s="3">
        <v>4</v>
      </c>
      <c r="B6" s="4">
        <v>44294.75209490741</v>
      </c>
      <c r="C6">
        <v>73.349999999999994</v>
      </c>
      <c r="D6">
        <v>75.45</v>
      </c>
      <c r="E6">
        <v>76.75</v>
      </c>
      <c r="F6">
        <v>40</v>
      </c>
      <c r="G6">
        <v>41</v>
      </c>
      <c r="H6">
        <v>0.61084373535156267</v>
      </c>
      <c r="I6">
        <v>180</v>
      </c>
      <c r="J6" s="4">
        <v>44291.610682870371</v>
      </c>
      <c r="K6">
        <v>0.23</v>
      </c>
      <c r="L6">
        <v>0.11</v>
      </c>
      <c r="M6">
        <v>0.2</v>
      </c>
      <c r="N6">
        <v>1</v>
      </c>
      <c r="O6">
        <v>46</v>
      </c>
      <c r="P6">
        <v>0.57129334960937506</v>
      </c>
    </row>
    <row r="7" spans="1:16" x14ac:dyDescent="0.2">
      <c r="A7" s="3">
        <v>5</v>
      </c>
      <c r="B7" s="4">
        <v>44295.625775462962</v>
      </c>
      <c r="C7">
        <v>54.6</v>
      </c>
      <c r="D7">
        <v>55.6</v>
      </c>
      <c r="E7">
        <v>56.95</v>
      </c>
      <c r="F7">
        <v>1</v>
      </c>
      <c r="G7">
        <v>1</v>
      </c>
      <c r="H7">
        <v>0.59424233886718758</v>
      </c>
      <c r="I7">
        <v>200</v>
      </c>
      <c r="J7" s="4">
        <v>44295.676655092589</v>
      </c>
      <c r="K7">
        <v>0.34</v>
      </c>
      <c r="L7">
        <v>7.0000000000000007E-2</v>
      </c>
      <c r="M7">
        <v>0.36</v>
      </c>
      <c r="N7">
        <v>2</v>
      </c>
      <c r="O7">
        <v>89</v>
      </c>
      <c r="P7">
        <v>0.476567734375</v>
      </c>
    </row>
    <row r="8" spans="1:16" x14ac:dyDescent="0.2">
      <c r="A8" s="3">
        <v>6</v>
      </c>
      <c r="B8" s="4">
        <v>44286.826967592591</v>
      </c>
      <c r="C8">
        <v>33.42</v>
      </c>
      <c r="D8">
        <v>49.9</v>
      </c>
      <c r="E8">
        <v>52.05</v>
      </c>
      <c r="F8">
        <v>2</v>
      </c>
      <c r="G8">
        <v>3</v>
      </c>
      <c r="H8">
        <v>0.55762161132812516</v>
      </c>
      <c r="I8">
        <v>205</v>
      </c>
      <c r="J8" s="4">
        <v>44294.746539351851</v>
      </c>
      <c r="K8">
        <v>0.38</v>
      </c>
      <c r="L8">
        <v>0</v>
      </c>
      <c r="M8">
        <v>0.42</v>
      </c>
      <c r="N8">
        <v>4</v>
      </c>
      <c r="O8">
        <v>1297</v>
      </c>
      <c r="P8">
        <v>0.44800356689453119</v>
      </c>
    </row>
    <row r="9" spans="1:16" x14ac:dyDescent="0.2">
      <c r="A9" s="3">
        <v>7</v>
      </c>
      <c r="B9" s="4">
        <v>44286.583645833343</v>
      </c>
      <c r="C9">
        <v>26</v>
      </c>
      <c r="D9">
        <v>45.8</v>
      </c>
      <c r="E9">
        <v>47.1</v>
      </c>
      <c r="G9">
        <v>5</v>
      </c>
      <c r="H9">
        <v>0.51465329101562496</v>
      </c>
      <c r="I9">
        <v>210</v>
      </c>
      <c r="J9" s="4">
        <v>44295.705983796302</v>
      </c>
      <c r="K9">
        <v>0.45</v>
      </c>
      <c r="L9">
        <v>0.4</v>
      </c>
      <c r="M9">
        <v>0.5</v>
      </c>
      <c r="N9">
        <v>8</v>
      </c>
      <c r="O9">
        <v>703</v>
      </c>
      <c r="P9">
        <v>0.42090422851562498</v>
      </c>
    </row>
    <row r="10" spans="1:16" x14ac:dyDescent="0.2">
      <c r="A10" s="3">
        <v>8</v>
      </c>
      <c r="B10" s="4">
        <v>44287.65351851852</v>
      </c>
      <c r="C10">
        <v>29.7</v>
      </c>
      <c r="D10">
        <v>43.3</v>
      </c>
      <c r="E10">
        <v>45.75</v>
      </c>
      <c r="F10">
        <v>1</v>
      </c>
      <c r="G10">
        <v>1</v>
      </c>
      <c r="H10">
        <v>0.58777267700195313</v>
      </c>
      <c r="I10">
        <v>212.5</v>
      </c>
      <c r="J10" s="4">
        <v>44295.818391203713</v>
      </c>
      <c r="K10">
        <v>0.51</v>
      </c>
      <c r="L10">
        <v>0.14000000000000001</v>
      </c>
      <c r="M10">
        <v>0.98</v>
      </c>
      <c r="N10">
        <v>8</v>
      </c>
      <c r="O10">
        <v>448</v>
      </c>
      <c r="P10">
        <v>0.46240771972656258</v>
      </c>
    </row>
    <row r="11" spans="1:16" x14ac:dyDescent="0.2">
      <c r="A11" s="3">
        <v>9</v>
      </c>
      <c r="B11" s="4">
        <v>44294.803495370368</v>
      </c>
      <c r="C11">
        <v>39.1</v>
      </c>
      <c r="D11">
        <v>40.85</v>
      </c>
      <c r="E11">
        <v>43.3</v>
      </c>
      <c r="F11">
        <v>1</v>
      </c>
      <c r="G11">
        <v>8</v>
      </c>
      <c r="H11">
        <v>0.56445748046875011</v>
      </c>
      <c r="I11">
        <v>215</v>
      </c>
      <c r="J11" s="4">
        <v>44295.740381944437</v>
      </c>
      <c r="K11">
        <v>0.56000000000000005</v>
      </c>
      <c r="L11">
        <v>0.51</v>
      </c>
      <c r="M11">
        <v>1.02</v>
      </c>
      <c r="N11">
        <v>8</v>
      </c>
      <c r="O11">
        <v>184</v>
      </c>
      <c r="P11">
        <v>0.4437311486816406</v>
      </c>
    </row>
    <row r="12" spans="1:16" x14ac:dyDescent="0.2">
      <c r="A12" s="3">
        <v>10</v>
      </c>
      <c r="B12" s="4">
        <v>44295.64607638889</v>
      </c>
      <c r="C12">
        <v>37.200000000000003</v>
      </c>
      <c r="D12">
        <v>38.4</v>
      </c>
      <c r="E12">
        <v>40.9</v>
      </c>
      <c r="F12">
        <v>1</v>
      </c>
      <c r="G12">
        <v>5</v>
      </c>
      <c r="H12">
        <v>0.54431608032226575</v>
      </c>
      <c r="I12">
        <v>217.5</v>
      </c>
      <c r="J12" s="4">
        <v>44295.606805555559</v>
      </c>
      <c r="K12">
        <v>0.66</v>
      </c>
      <c r="L12">
        <v>0.59</v>
      </c>
      <c r="M12">
        <v>1.33</v>
      </c>
      <c r="N12">
        <v>16</v>
      </c>
      <c r="O12">
        <v>238</v>
      </c>
      <c r="P12">
        <v>0.450200810546875</v>
      </c>
    </row>
    <row r="13" spans="1:16" x14ac:dyDescent="0.2">
      <c r="A13" s="3">
        <v>11</v>
      </c>
      <c r="B13" s="4">
        <v>44295.831724537027</v>
      </c>
      <c r="C13">
        <v>36.549999999999997</v>
      </c>
      <c r="D13">
        <v>35.950000000000003</v>
      </c>
      <c r="E13">
        <v>38.450000000000003</v>
      </c>
      <c r="F13">
        <v>1</v>
      </c>
      <c r="G13">
        <v>13</v>
      </c>
      <c r="H13">
        <v>0.52051260742187488</v>
      </c>
      <c r="I13">
        <v>220</v>
      </c>
      <c r="J13" s="4">
        <v>44295.827106481483</v>
      </c>
      <c r="K13">
        <v>0.67</v>
      </c>
      <c r="L13">
        <v>0.6</v>
      </c>
      <c r="M13">
        <v>0.8</v>
      </c>
      <c r="N13">
        <v>12</v>
      </c>
      <c r="O13">
        <v>475</v>
      </c>
      <c r="P13">
        <v>0.37476211181640617</v>
      </c>
    </row>
    <row r="14" spans="1:16" x14ac:dyDescent="0.2">
      <c r="A14" s="3">
        <v>12</v>
      </c>
      <c r="B14" s="4">
        <v>44295.678564814807</v>
      </c>
      <c r="C14">
        <v>33.200000000000003</v>
      </c>
      <c r="D14">
        <v>33.549999999999997</v>
      </c>
      <c r="E14">
        <v>36.049999999999997</v>
      </c>
      <c r="F14">
        <v>1</v>
      </c>
      <c r="G14">
        <v>17</v>
      </c>
      <c r="H14">
        <v>0.49963879272460943</v>
      </c>
      <c r="I14">
        <v>222.5</v>
      </c>
      <c r="J14" s="4">
        <v>44295.816562499997</v>
      </c>
      <c r="K14">
        <v>0.75</v>
      </c>
      <c r="L14">
        <v>0.67</v>
      </c>
      <c r="M14">
        <v>1.95</v>
      </c>
      <c r="N14">
        <v>8</v>
      </c>
      <c r="O14">
        <v>180</v>
      </c>
      <c r="P14">
        <v>0.44959046508789058</v>
      </c>
    </row>
    <row r="15" spans="1:16" x14ac:dyDescent="0.2">
      <c r="A15" s="3">
        <v>13</v>
      </c>
      <c r="B15" s="4">
        <v>44295.562824074077</v>
      </c>
      <c r="C15">
        <v>29</v>
      </c>
      <c r="D15">
        <v>31.15</v>
      </c>
      <c r="E15">
        <v>33.700000000000003</v>
      </c>
      <c r="F15">
        <v>2</v>
      </c>
      <c r="G15">
        <v>173</v>
      </c>
      <c r="H15">
        <v>0.48120635986328131</v>
      </c>
      <c r="I15">
        <v>225</v>
      </c>
      <c r="J15" s="4">
        <v>44295.83</v>
      </c>
      <c r="K15">
        <v>0.84</v>
      </c>
      <c r="L15">
        <v>0.78</v>
      </c>
      <c r="M15">
        <v>0.91</v>
      </c>
      <c r="N15">
        <v>129</v>
      </c>
      <c r="O15">
        <v>399</v>
      </c>
      <c r="P15">
        <v>0.34155931884765622</v>
      </c>
    </row>
    <row r="16" spans="1:16" x14ac:dyDescent="0.2">
      <c r="A16" s="3">
        <v>14</v>
      </c>
      <c r="B16" s="4">
        <v>44291.759664351863</v>
      </c>
      <c r="C16">
        <v>21.69</v>
      </c>
      <c r="D16">
        <v>28.75</v>
      </c>
      <c r="E16">
        <v>31.35</v>
      </c>
      <c r="F16">
        <v>1</v>
      </c>
      <c r="G16">
        <v>31</v>
      </c>
      <c r="H16">
        <v>0.46210254699707037</v>
      </c>
      <c r="I16">
        <v>227.5</v>
      </c>
      <c r="J16" s="4">
        <v>44295.81523148148</v>
      </c>
      <c r="K16">
        <v>0.96</v>
      </c>
      <c r="L16">
        <v>0.86</v>
      </c>
      <c r="M16">
        <v>1.1000000000000001</v>
      </c>
      <c r="N16">
        <v>14</v>
      </c>
      <c r="O16">
        <v>476</v>
      </c>
      <c r="P16">
        <v>0.33545586425781249</v>
      </c>
    </row>
    <row r="17" spans="1:16" x14ac:dyDescent="0.2">
      <c r="A17" s="3">
        <v>15</v>
      </c>
      <c r="B17" s="4">
        <v>44295.685567129629</v>
      </c>
      <c r="C17">
        <v>25.93</v>
      </c>
      <c r="D17">
        <v>26.4</v>
      </c>
      <c r="E17">
        <v>29.05</v>
      </c>
      <c r="F17">
        <v>2</v>
      </c>
      <c r="G17">
        <v>119</v>
      </c>
      <c r="H17">
        <v>0.44482977050781253</v>
      </c>
      <c r="I17">
        <v>230</v>
      </c>
      <c r="J17" s="4">
        <v>44295.830636574072</v>
      </c>
      <c r="K17">
        <v>1.04</v>
      </c>
      <c r="L17">
        <v>0.99</v>
      </c>
      <c r="M17">
        <v>1.8</v>
      </c>
      <c r="N17">
        <v>44</v>
      </c>
      <c r="O17">
        <v>898</v>
      </c>
      <c r="P17">
        <v>0.362311064453125</v>
      </c>
    </row>
    <row r="18" spans="1:16" x14ac:dyDescent="0.2">
      <c r="A18" s="3">
        <v>16</v>
      </c>
      <c r="B18" s="4">
        <v>44295.642013888893</v>
      </c>
      <c r="C18">
        <v>23.2</v>
      </c>
      <c r="D18">
        <v>24.25</v>
      </c>
      <c r="E18">
        <v>26</v>
      </c>
      <c r="F18">
        <v>8</v>
      </c>
      <c r="G18">
        <v>330</v>
      </c>
      <c r="H18">
        <v>0.38648074462890619</v>
      </c>
      <c r="I18">
        <v>232.5</v>
      </c>
      <c r="J18" s="4">
        <v>44295.83320601852</v>
      </c>
      <c r="K18">
        <v>1.24</v>
      </c>
      <c r="L18">
        <v>1.19</v>
      </c>
      <c r="M18">
        <v>1.79</v>
      </c>
      <c r="N18">
        <v>15</v>
      </c>
      <c r="O18">
        <v>460</v>
      </c>
      <c r="P18">
        <v>0.3360662097167969</v>
      </c>
    </row>
    <row r="19" spans="1:16" x14ac:dyDescent="0.2">
      <c r="A19" s="3">
        <v>17</v>
      </c>
      <c r="B19" s="4">
        <v>44295.827708333331</v>
      </c>
      <c r="C19">
        <v>21.61</v>
      </c>
      <c r="D19">
        <v>21.9</v>
      </c>
      <c r="E19">
        <v>22.6</v>
      </c>
      <c r="F19">
        <v>2</v>
      </c>
      <c r="G19">
        <v>313</v>
      </c>
      <c r="H19">
        <v>0.30774618041992191</v>
      </c>
      <c r="I19">
        <v>235</v>
      </c>
      <c r="J19" s="4">
        <v>44295.832812499997</v>
      </c>
      <c r="K19">
        <v>1.45</v>
      </c>
      <c r="L19">
        <v>1.37</v>
      </c>
      <c r="M19">
        <v>1.51</v>
      </c>
      <c r="N19">
        <v>44</v>
      </c>
      <c r="O19">
        <v>405</v>
      </c>
      <c r="P19">
        <v>0.29285375122070301</v>
      </c>
    </row>
    <row r="20" spans="1:16" x14ac:dyDescent="0.2">
      <c r="A20" s="3">
        <v>18</v>
      </c>
      <c r="B20" s="4">
        <v>44295.831944444442</v>
      </c>
      <c r="C20">
        <v>20.02</v>
      </c>
      <c r="D20">
        <v>19.600000000000001</v>
      </c>
      <c r="E20">
        <v>20.6</v>
      </c>
      <c r="F20">
        <v>10</v>
      </c>
      <c r="G20">
        <v>773</v>
      </c>
      <c r="H20">
        <v>0.309577216796875</v>
      </c>
      <c r="I20">
        <v>237.5</v>
      </c>
      <c r="J20" s="4">
        <v>44295.827222222222</v>
      </c>
      <c r="K20">
        <v>1.76</v>
      </c>
      <c r="L20">
        <v>1.62</v>
      </c>
      <c r="M20">
        <v>1.79</v>
      </c>
      <c r="N20">
        <v>36</v>
      </c>
      <c r="O20">
        <v>393</v>
      </c>
      <c r="P20">
        <v>0.28418684570312491</v>
      </c>
    </row>
    <row r="21" spans="1:16" x14ac:dyDescent="0.2">
      <c r="A21" s="3">
        <v>19</v>
      </c>
      <c r="B21" s="4">
        <v>44295.822615740741</v>
      </c>
      <c r="C21">
        <v>18.100000000000001</v>
      </c>
      <c r="D21">
        <v>17.45</v>
      </c>
      <c r="E21">
        <v>18.45</v>
      </c>
      <c r="F21">
        <v>67</v>
      </c>
      <c r="G21">
        <v>669</v>
      </c>
      <c r="H21">
        <v>0.29950651672363282</v>
      </c>
      <c r="I21">
        <v>240</v>
      </c>
      <c r="J21" s="4">
        <v>44295.824201388888</v>
      </c>
      <c r="K21">
        <v>2.02</v>
      </c>
      <c r="L21">
        <v>1.61</v>
      </c>
      <c r="M21">
        <v>2.14</v>
      </c>
      <c r="N21">
        <v>184</v>
      </c>
      <c r="O21">
        <v>579</v>
      </c>
      <c r="P21">
        <v>0.27637442382812488</v>
      </c>
    </row>
    <row r="22" spans="1:16" x14ac:dyDescent="0.2">
      <c r="A22" s="3">
        <v>20</v>
      </c>
      <c r="B22" s="4">
        <v>44295.822615740741</v>
      </c>
      <c r="C22">
        <v>16.05</v>
      </c>
      <c r="D22">
        <v>15.4</v>
      </c>
      <c r="E22">
        <v>16.25</v>
      </c>
      <c r="F22">
        <v>54</v>
      </c>
      <c r="G22">
        <v>280</v>
      </c>
      <c r="H22">
        <v>0.28449201843261712</v>
      </c>
      <c r="I22">
        <v>242.5</v>
      </c>
      <c r="J22" s="4">
        <v>44295.815347222233</v>
      </c>
      <c r="K22">
        <v>2.6</v>
      </c>
      <c r="L22">
        <v>2.29</v>
      </c>
      <c r="M22">
        <v>2.58</v>
      </c>
      <c r="N22">
        <v>80</v>
      </c>
      <c r="O22">
        <v>145</v>
      </c>
      <c r="P22">
        <v>0.26972165832519529</v>
      </c>
    </row>
    <row r="23" spans="1:16" x14ac:dyDescent="0.2">
      <c r="A23" s="3">
        <v>21</v>
      </c>
      <c r="B23" s="4">
        <v>44295.823935185188</v>
      </c>
      <c r="C23">
        <v>13.32</v>
      </c>
      <c r="D23">
        <v>13.55</v>
      </c>
      <c r="E23">
        <v>14.15</v>
      </c>
      <c r="F23">
        <v>73</v>
      </c>
      <c r="G23">
        <v>743</v>
      </c>
      <c r="H23">
        <v>0.27149166015624998</v>
      </c>
      <c r="I23">
        <v>245</v>
      </c>
      <c r="J23" s="4">
        <v>44295.823541666658</v>
      </c>
      <c r="K23">
        <v>3.16</v>
      </c>
      <c r="L23">
        <v>2.8</v>
      </c>
      <c r="M23">
        <v>3.1</v>
      </c>
      <c r="N23">
        <v>123</v>
      </c>
      <c r="O23">
        <v>253</v>
      </c>
      <c r="P23">
        <v>0.26300785827636719</v>
      </c>
    </row>
    <row r="24" spans="1:16" x14ac:dyDescent="0.2">
      <c r="A24" s="3">
        <v>22</v>
      </c>
      <c r="B24" s="4">
        <v>44295.814409722218</v>
      </c>
      <c r="C24">
        <v>11.93</v>
      </c>
      <c r="D24">
        <v>11.65</v>
      </c>
      <c r="E24">
        <v>12.3</v>
      </c>
      <c r="F24">
        <v>58</v>
      </c>
      <c r="G24">
        <v>373</v>
      </c>
      <c r="H24">
        <v>0.26563234375</v>
      </c>
      <c r="I24">
        <v>247.5</v>
      </c>
      <c r="J24" s="4">
        <v>44295.829317129632</v>
      </c>
      <c r="K24">
        <v>3.81</v>
      </c>
      <c r="L24">
        <v>3.45</v>
      </c>
      <c r="M24">
        <v>3.8</v>
      </c>
      <c r="N24">
        <v>25</v>
      </c>
      <c r="O24">
        <v>198</v>
      </c>
      <c r="P24">
        <v>0.25971199279785162</v>
      </c>
    </row>
    <row r="25" spans="1:16" x14ac:dyDescent="0.2">
      <c r="A25" s="3">
        <v>23</v>
      </c>
      <c r="B25" s="4">
        <v>44295.829675925917</v>
      </c>
      <c r="C25">
        <v>9.86</v>
      </c>
      <c r="D25">
        <v>10.199999999999999</v>
      </c>
      <c r="E25">
        <v>10.7</v>
      </c>
      <c r="F25">
        <v>231</v>
      </c>
      <c r="G25">
        <v>1069</v>
      </c>
      <c r="H25">
        <v>0.26520510192871088</v>
      </c>
      <c r="I25">
        <v>250</v>
      </c>
      <c r="J25" s="4">
        <v>44295.81821759259</v>
      </c>
      <c r="K25">
        <v>4.6100000000000003</v>
      </c>
      <c r="L25">
        <v>4.3</v>
      </c>
      <c r="M25">
        <v>4.6500000000000004</v>
      </c>
      <c r="N25">
        <v>188</v>
      </c>
      <c r="O25">
        <v>284</v>
      </c>
      <c r="P25">
        <v>0.25769785278320312</v>
      </c>
    </row>
    <row r="26" spans="1:16" x14ac:dyDescent="0.2">
      <c r="A26" s="3">
        <v>24</v>
      </c>
      <c r="B26" s="4">
        <v>44295.820381944453</v>
      </c>
      <c r="C26">
        <v>8.6999999999999993</v>
      </c>
      <c r="D26">
        <v>8.65</v>
      </c>
      <c r="E26">
        <v>9</v>
      </c>
      <c r="F26">
        <v>292</v>
      </c>
      <c r="G26">
        <v>499</v>
      </c>
      <c r="H26">
        <v>0.25641612731933588</v>
      </c>
      <c r="I26">
        <v>252.5</v>
      </c>
      <c r="J26" s="4">
        <v>44294.82644675926</v>
      </c>
      <c r="K26">
        <v>6.47</v>
      </c>
      <c r="L26">
        <v>0</v>
      </c>
      <c r="M26">
        <v>0</v>
      </c>
      <c r="N26">
        <v>277</v>
      </c>
      <c r="O26">
        <v>0</v>
      </c>
      <c r="P26">
        <v>1.5634843749999999E-2</v>
      </c>
    </row>
    <row r="27" spans="1:16" x14ac:dyDescent="0.2">
      <c r="A27" s="3">
        <v>25</v>
      </c>
      <c r="B27" s="4">
        <v>44295.83053240741</v>
      </c>
      <c r="C27">
        <v>7.37</v>
      </c>
      <c r="D27">
        <v>7.2</v>
      </c>
      <c r="E27">
        <v>7.5</v>
      </c>
      <c r="F27">
        <v>328</v>
      </c>
      <c r="G27">
        <v>625</v>
      </c>
      <c r="H27">
        <v>0.2503737072753906</v>
      </c>
      <c r="I27">
        <v>255</v>
      </c>
      <c r="J27" s="4">
        <v>44295.830833333333</v>
      </c>
      <c r="K27">
        <v>6.35</v>
      </c>
      <c r="L27">
        <v>6.3</v>
      </c>
      <c r="M27">
        <v>6.65</v>
      </c>
      <c r="N27">
        <v>27</v>
      </c>
      <c r="O27">
        <v>29</v>
      </c>
      <c r="P27">
        <v>0.25049577636718751</v>
      </c>
    </row>
    <row r="28" spans="1:16" x14ac:dyDescent="0.2">
      <c r="A28" s="3">
        <v>26</v>
      </c>
      <c r="B28" s="4">
        <v>44295.832314814812</v>
      </c>
      <c r="C28">
        <v>6</v>
      </c>
      <c r="D28">
        <v>6</v>
      </c>
      <c r="E28">
        <v>6.3</v>
      </c>
      <c r="F28">
        <v>66</v>
      </c>
      <c r="G28">
        <v>256</v>
      </c>
      <c r="H28">
        <v>0.2501906036376953</v>
      </c>
      <c r="I28">
        <v>257.5</v>
      </c>
      <c r="J28" s="4">
        <v>44295.63653935185</v>
      </c>
      <c r="K28">
        <v>8.5</v>
      </c>
      <c r="L28">
        <v>7.5</v>
      </c>
      <c r="M28">
        <v>7.95</v>
      </c>
      <c r="N28">
        <v>14</v>
      </c>
      <c r="O28">
        <v>10</v>
      </c>
      <c r="P28">
        <v>0.25025163818359369</v>
      </c>
    </row>
    <row r="29" spans="1:16" x14ac:dyDescent="0.2">
      <c r="A29" s="3">
        <v>27</v>
      </c>
      <c r="B29" s="4">
        <v>44295.830763888887</v>
      </c>
      <c r="C29">
        <v>4.95</v>
      </c>
      <c r="D29">
        <v>4.8499999999999996</v>
      </c>
      <c r="E29">
        <v>5.2</v>
      </c>
      <c r="F29">
        <v>222</v>
      </c>
      <c r="G29">
        <v>783</v>
      </c>
      <c r="H29">
        <v>0.24854267089843751</v>
      </c>
      <c r="I29">
        <v>260</v>
      </c>
      <c r="J29" s="4">
        <v>44294.790868055563</v>
      </c>
      <c r="K29">
        <v>10.77</v>
      </c>
      <c r="L29">
        <v>0</v>
      </c>
      <c r="M29">
        <v>0</v>
      </c>
      <c r="N29">
        <v>1</v>
      </c>
      <c r="O29">
        <v>0</v>
      </c>
      <c r="P29">
        <v>1.0000000000000001E-5</v>
      </c>
    </row>
    <row r="30" spans="1:16" x14ac:dyDescent="0.2">
      <c r="A30" s="3">
        <v>28</v>
      </c>
      <c r="B30" s="4">
        <v>44295.830543981479</v>
      </c>
      <c r="C30">
        <v>4</v>
      </c>
      <c r="D30">
        <v>3.95</v>
      </c>
      <c r="E30">
        <v>4.2</v>
      </c>
      <c r="F30">
        <v>100</v>
      </c>
      <c r="G30">
        <v>6400</v>
      </c>
      <c r="H30">
        <v>0.24549094360351559</v>
      </c>
      <c r="I30">
        <v>262.5</v>
      </c>
    </row>
    <row r="31" spans="1:16" x14ac:dyDescent="0.2">
      <c r="A31" s="3">
        <v>29</v>
      </c>
      <c r="B31" s="4">
        <v>44295.832314814812</v>
      </c>
      <c r="C31">
        <v>3.1</v>
      </c>
      <c r="D31">
        <v>3.1</v>
      </c>
      <c r="E31">
        <v>3.5</v>
      </c>
      <c r="F31">
        <v>675</v>
      </c>
      <c r="G31">
        <v>656</v>
      </c>
      <c r="H31">
        <v>0.249030947265625</v>
      </c>
      <c r="I31">
        <v>265</v>
      </c>
      <c r="J31" s="4">
        <v>44295.792604166672</v>
      </c>
      <c r="K31">
        <v>13.32</v>
      </c>
      <c r="L31">
        <v>11.95</v>
      </c>
      <c r="M31">
        <v>12.65</v>
      </c>
      <c r="N31">
        <v>2</v>
      </c>
      <c r="O31">
        <v>2</v>
      </c>
      <c r="P31">
        <v>0.2491530163574219</v>
      </c>
    </row>
    <row r="32" spans="1:16" x14ac:dyDescent="0.2">
      <c r="A32" s="3">
        <v>30</v>
      </c>
      <c r="B32" s="4">
        <v>44294.80568287037</v>
      </c>
      <c r="C32">
        <v>2.02</v>
      </c>
      <c r="D32">
        <v>0</v>
      </c>
      <c r="E32">
        <v>0</v>
      </c>
      <c r="F32">
        <v>57</v>
      </c>
      <c r="H32">
        <v>3.1259687500000001E-2</v>
      </c>
      <c r="I32">
        <v>267.5</v>
      </c>
    </row>
    <row r="33" spans="1:16" x14ac:dyDescent="0.2">
      <c r="A33" s="3">
        <v>31</v>
      </c>
      <c r="B33" s="4">
        <v>44295.830266203702</v>
      </c>
      <c r="C33">
        <v>2.0499999999999998</v>
      </c>
      <c r="D33">
        <v>1.95</v>
      </c>
      <c r="E33">
        <v>2.2200000000000002</v>
      </c>
      <c r="F33">
        <v>182</v>
      </c>
      <c r="G33">
        <v>634</v>
      </c>
      <c r="H33">
        <v>0.24738301452636721</v>
      </c>
      <c r="I33">
        <v>270</v>
      </c>
      <c r="J33" s="4">
        <v>44295.647916666669</v>
      </c>
      <c r="K33">
        <v>17.5</v>
      </c>
      <c r="L33">
        <v>15.6</v>
      </c>
      <c r="M33">
        <v>16.600000000000001</v>
      </c>
      <c r="N33">
        <v>4</v>
      </c>
      <c r="O33">
        <v>8</v>
      </c>
      <c r="P33">
        <v>0.25818612915039058</v>
      </c>
    </row>
    <row r="34" spans="1:16" x14ac:dyDescent="0.2">
      <c r="A34" s="3">
        <v>32</v>
      </c>
      <c r="B34" s="4">
        <v>44294.826817129629</v>
      </c>
      <c r="C34">
        <v>1.27</v>
      </c>
      <c r="D34">
        <v>0</v>
      </c>
      <c r="E34">
        <v>0</v>
      </c>
      <c r="F34">
        <v>4</v>
      </c>
      <c r="H34">
        <v>6.2509375000000006E-2</v>
      </c>
      <c r="I34">
        <v>272.5</v>
      </c>
    </row>
    <row r="35" spans="1:16" x14ac:dyDescent="0.2">
      <c r="A35" s="3">
        <v>33</v>
      </c>
      <c r="B35" s="4">
        <v>44295.83</v>
      </c>
      <c r="C35">
        <v>1.35</v>
      </c>
      <c r="D35">
        <v>1.22</v>
      </c>
      <c r="E35">
        <v>1.35</v>
      </c>
      <c r="F35">
        <v>193</v>
      </c>
      <c r="G35">
        <v>368</v>
      </c>
      <c r="H35">
        <v>0.24646749633789061</v>
      </c>
      <c r="I35">
        <v>275</v>
      </c>
      <c r="J35" s="4">
        <v>44294.594675925917</v>
      </c>
      <c r="K35">
        <v>23.05</v>
      </c>
      <c r="L35">
        <v>0</v>
      </c>
      <c r="M35">
        <v>0</v>
      </c>
      <c r="N35">
        <v>1</v>
      </c>
      <c r="O35">
        <v>0</v>
      </c>
      <c r="P35">
        <v>1.0000000000000001E-5</v>
      </c>
    </row>
    <row r="36" spans="1:16" x14ac:dyDescent="0.2">
      <c r="A36" s="3">
        <v>34</v>
      </c>
      <c r="B36" s="4">
        <v>44295.83</v>
      </c>
      <c r="C36">
        <v>0.83</v>
      </c>
      <c r="D36">
        <v>0.78</v>
      </c>
      <c r="E36">
        <v>0.95</v>
      </c>
      <c r="F36">
        <v>49</v>
      </c>
      <c r="G36">
        <v>163</v>
      </c>
      <c r="H36">
        <v>0.25855233642578129</v>
      </c>
      <c r="I36">
        <v>280</v>
      </c>
      <c r="J36" s="4">
        <v>44294.806817129633</v>
      </c>
      <c r="K36">
        <v>27.25</v>
      </c>
      <c r="L36">
        <v>0</v>
      </c>
      <c r="M36">
        <v>0</v>
      </c>
      <c r="N36">
        <v>4</v>
      </c>
      <c r="O36">
        <v>0</v>
      </c>
      <c r="P36">
        <v>1.0000000000000001E-5</v>
      </c>
    </row>
    <row r="37" spans="1:16" x14ac:dyDescent="0.2">
      <c r="A37" s="3">
        <v>35</v>
      </c>
      <c r="B37" s="4">
        <v>44295.814872685187</v>
      </c>
      <c r="C37">
        <v>0.57999999999999996</v>
      </c>
      <c r="D37">
        <v>0.24</v>
      </c>
      <c r="E37">
        <v>0.65</v>
      </c>
      <c r="F37">
        <v>8</v>
      </c>
      <c r="G37">
        <v>309</v>
      </c>
      <c r="H37">
        <v>0.26782958740234369</v>
      </c>
      <c r="I37">
        <v>285</v>
      </c>
    </row>
    <row r="38" spans="1:16" x14ac:dyDescent="0.2">
      <c r="A38" s="3">
        <v>36</v>
      </c>
      <c r="B38" s="4">
        <v>44294.654224537036</v>
      </c>
      <c r="C38">
        <v>0.35</v>
      </c>
      <c r="D38">
        <v>0</v>
      </c>
      <c r="E38">
        <v>0</v>
      </c>
      <c r="F38">
        <v>13</v>
      </c>
      <c r="G38">
        <v>0</v>
      </c>
      <c r="H38">
        <v>0.12500875</v>
      </c>
      <c r="I38">
        <v>290</v>
      </c>
    </row>
    <row r="39" spans="1:16" x14ac:dyDescent="0.2">
      <c r="A39" s="3">
        <v>37</v>
      </c>
      <c r="B39" s="4">
        <v>44294.6562962963</v>
      </c>
      <c r="C39">
        <v>0.49</v>
      </c>
      <c r="D39">
        <v>0</v>
      </c>
      <c r="E39">
        <v>0</v>
      </c>
      <c r="F39">
        <v>1</v>
      </c>
      <c r="G39">
        <v>0</v>
      </c>
      <c r="H39">
        <v>0.12500875</v>
      </c>
      <c r="I39">
        <v>295</v>
      </c>
    </row>
    <row r="40" spans="1:16" x14ac:dyDescent="0.2">
      <c r="A40" s="3">
        <v>38</v>
      </c>
      <c r="B40" s="4">
        <v>44294.562719907408</v>
      </c>
      <c r="C40">
        <v>0.33</v>
      </c>
      <c r="D40">
        <v>0</v>
      </c>
      <c r="E40">
        <v>0</v>
      </c>
      <c r="F40">
        <v>2</v>
      </c>
      <c r="G40">
        <v>0</v>
      </c>
      <c r="H40">
        <v>0.12500875</v>
      </c>
      <c r="I40">
        <v>300</v>
      </c>
      <c r="J40" s="4">
        <v>44294.599687499998</v>
      </c>
      <c r="K40">
        <v>47.05</v>
      </c>
      <c r="L40">
        <v>0</v>
      </c>
      <c r="M40">
        <v>0</v>
      </c>
      <c r="N40">
        <v>1</v>
      </c>
      <c r="O40">
        <v>0</v>
      </c>
      <c r="P40">
        <v>1.0000000000000001E-5</v>
      </c>
    </row>
    <row r="41" spans="1:16" x14ac:dyDescent="0.2">
      <c r="A41" s="3">
        <v>39</v>
      </c>
      <c r="B41" s="4">
        <v>44294.768807870372</v>
      </c>
      <c r="C41">
        <v>0.21</v>
      </c>
      <c r="D41">
        <v>0</v>
      </c>
      <c r="E41">
        <v>0</v>
      </c>
      <c r="F41">
        <v>3</v>
      </c>
      <c r="H41">
        <v>0.12500875</v>
      </c>
      <c r="I41">
        <v>305</v>
      </c>
      <c r="J41" s="4">
        <v>44294.599687499998</v>
      </c>
      <c r="K41">
        <v>52</v>
      </c>
      <c r="L41">
        <v>0</v>
      </c>
      <c r="M41">
        <v>0</v>
      </c>
      <c r="N41">
        <v>1</v>
      </c>
      <c r="P41">
        <v>1.0000000000000001E-5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P31"/>
  <sheetViews>
    <sheetView workbookViewId="0"/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44294.804212962961</v>
      </c>
      <c r="C2">
        <v>49.02</v>
      </c>
      <c r="D2">
        <v>0</v>
      </c>
      <c r="E2">
        <v>0</v>
      </c>
      <c r="F2">
        <v>1</v>
      </c>
      <c r="G2">
        <v>0</v>
      </c>
      <c r="H2">
        <v>1.0000000000000001E-5</v>
      </c>
      <c r="I2">
        <v>205</v>
      </c>
      <c r="J2" s="4">
        <v>44295.757094907407</v>
      </c>
      <c r="K2">
        <v>0.5</v>
      </c>
      <c r="L2">
        <v>0.21</v>
      </c>
      <c r="M2">
        <v>0.76</v>
      </c>
      <c r="N2">
        <v>3</v>
      </c>
      <c r="O2">
        <v>64</v>
      </c>
      <c r="P2">
        <v>0.450200810546875</v>
      </c>
    </row>
    <row r="3" spans="1:16" x14ac:dyDescent="0.2">
      <c r="A3" s="3">
        <v>1</v>
      </c>
      <c r="B3" s="4">
        <v>44294.73364583333</v>
      </c>
      <c r="C3">
        <v>43.58</v>
      </c>
      <c r="D3">
        <v>0</v>
      </c>
      <c r="E3">
        <v>0</v>
      </c>
      <c r="F3">
        <v>10</v>
      </c>
      <c r="G3">
        <v>0</v>
      </c>
      <c r="H3">
        <v>1.0000000000000001E-5</v>
      </c>
      <c r="I3">
        <v>210</v>
      </c>
      <c r="J3" s="4">
        <v>44294.599583333344</v>
      </c>
      <c r="K3">
        <v>0.61</v>
      </c>
      <c r="L3">
        <v>0.04</v>
      </c>
      <c r="M3">
        <v>0.86</v>
      </c>
      <c r="N3">
        <v>3</v>
      </c>
      <c r="O3">
        <v>3</v>
      </c>
      <c r="P3">
        <v>0.42163664306640619</v>
      </c>
    </row>
    <row r="4" spans="1:16" x14ac:dyDescent="0.2">
      <c r="A4" s="3">
        <v>2</v>
      </c>
      <c r="B4" s="4">
        <v>44292.579375000001</v>
      </c>
      <c r="C4">
        <v>34.21</v>
      </c>
      <c r="D4">
        <v>0</v>
      </c>
      <c r="E4">
        <v>0</v>
      </c>
      <c r="G4">
        <v>0</v>
      </c>
      <c r="H4">
        <v>1.0000000000000001E-5</v>
      </c>
      <c r="I4">
        <v>215</v>
      </c>
      <c r="J4" s="4">
        <v>44295.790034722217</v>
      </c>
      <c r="K4">
        <v>0.68</v>
      </c>
      <c r="L4">
        <v>0.4</v>
      </c>
      <c r="M4">
        <v>1.03</v>
      </c>
      <c r="N4">
        <v>36</v>
      </c>
      <c r="O4">
        <v>143</v>
      </c>
      <c r="P4">
        <v>0.3978331701660156</v>
      </c>
    </row>
    <row r="5" spans="1:16" x14ac:dyDescent="0.2">
      <c r="A5" s="3">
        <v>3</v>
      </c>
      <c r="B5" s="4">
        <v>44295.705231481479</v>
      </c>
      <c r="C5">
        <v>35.4</v>
      </c>
      <c r="D5">
        <v>36.15</v>
      </c>
      <c r="E5">
        <v>38</v>
      </c>
      <c r="F5">
        <v>1</v>
      </c>
      <c r="G5">
        <v>3</v>
      </c>
      <c r="H5">
        <v>0.43799390136718752</v>
      </c>
      <c r="I5">
        <v>220</v>
      </c>
      <c r="J5" s="4">
        <v>44295.790034722217</v>
      </c>
      <c r="K5">
        <v>0.84</v>
      </c>
      <c r="L5">
        <v>0.19</v>
      </c>
      <c r="M5">
        <v>1.27</v>
      </c>
      <c r="N5">
        <v>11</v>
      </c>
      <c r="O5">
        <v>67</v>
      </c>
      <c r="P5">
        <v>0.37634901000976562</v>
      </c>
    </row>
    <row r="6" spans="1:16" x14ac:dyDescent="0.2">
      <c r="A6" s="3">
        <v>4</v>
      </c>
      <c r="B6" s="4">
        <v>44293.652754629627</v>
      </c>
      <c r="C6">
        <v>28.95</v>
      </c>
      <c r="D6">
        <v>0</v>
      </c>
      <c r="E6">
        <v>0</v>
      </c>
      <c r="G6">
        <v>0</v>
      </c>
      <c r="H6">
        <v>1.0000000000000001E-5</v>
      </c>
      <c r="I6">
        <v>222.5</v>
      </c>
      <c r="J6" s="4">
        <v>44294.662928240738</v>
      </c>
      <c r="K6">
        <v>1.05</v>
      </c>
      <c r="L6">
        <v>0.59</v>
      </c>
      <c r="M6">
        <v>1.38</v>
      </c>
      <c r="N6">
        <v>1</v>
      </c>
      <c r="O6">
        <v>33</v>
      </c>
      <c r="P6">
        <v>0.36328761718750002</v>
      </c>
    </row>
    <row r="7" spans="1:16" x14ac:dyDescent="0.2">
      <c r="A7" s="3">
        <v>5</v>
      </c>
      <c r="B7" s="4">
        <v>44293.79724537037</v>
      </c>
      <c r="C7">
        <v>26.67</v>
      </c>
      <c r="D7">
        <v>0</v>
      </c>
      <c r="E7">
        <v>0</v>
      </c>
      <c r="G7">
        <v>0</v>
      </c>
      <c r="H7">
        <v>1.0000000000000001E-5</v>
      </c>
      <c r="I7">
        <v>225</v>
      </c>
      <c r="J7" s="4">
        <v>44295.785729166673</v>
      </c>
      <c r="K7">
        <v>1.1000000000000001</v>
      </c>
      <c r="L7">
        <v>0.81</v>
      </c>
      <c r="M7">
        <v>1.47</v>
      </c>
      <c r="N7">
        <v>6</v>
      </c>
      <c r="O7">
        <v>190</v>
      </c>
      <c r="P7">
        <v>0.34790691162109372</v>
      </c>
    </row>
    <row r="8" spans="1:16" x14ac:dyDescent="0.2">
      <c r="A8" s="3">
        <v>6</v>
      </c>
      <c r="B8" s="4">
        <v>44291.731226851851</v>
      </c>
      <c r="C8">
        <v>22.95</v>
      </c>
      <c r="D8">
        <v>29</v>
      </c>
      <c r="E8">
        <v>31.6</v>
      </c>
      <c r="F8">
        <v>1</v>
      </c>
      <c r="G8">
        <v>5</v>
      </c>
      <c r="H8">
        <v>0.42590906127929701</v>
      </c>
      <c r="I8">
        <v>227.5</v>
      </c>
      <c r="J8" s="4">
        <v>44295.795659722222</v>
      </c>
      <c r="K8">
        <v>1.22</v>
      </c>
      <c r="L8">
        <v>0.5</v>
      </c>
      <c r="M8">
        <v>1.51</v>
      </c>
      <c r="N8">
        <v>38</v>
      </c>
      <c r="O8">
        <v>26</v>
      </c>
      <c r="P8">
        <v>0.32861999511718742</v>
      </c>
    </row>
    <row r="9" spans="1:16" x14ac:dyDescent="0.2">
      <c r="A9" s="3">
        <v>7</v>
      </c>
      <c r="B9" s="4">
        <v>44294.804212962961</v>
      </c>
      <c r="C9">
        <v>24.99</v>
      </c>
      <c r="D9">
        <v>26.7</v>
      </c>
      <c r="E9">
        <v>29.35</v>
      </c>
      <c r="F9">
        <v>1</v>
      </c>
      <c r="G9">
        <v>52</v>
      </c>
      <c r="H9">
        <v>0.41223732299804677</v>
      </c>
      <c r="I9">
        <v>230</v>
      </c>
      <c r="J9" s="4">
        <v>44295.658518518518</v>
      </c>
      <c r="K9">
        <v>1.43</v>
      </c>
      <c r="L9">
        <v>1.1100000000000001</v>
      </c>
      <c r="M9">
        <v>1.53</v>
      </c>
      <c r="N9">
        <v>21</v>
      </c>
      <c r="O9">
        <v>199</v>
      </c>
      <c r="P9">
        <v>0.30774618041992191</v>
      </c>
    </row>
    <row r="10" spans="1:16" x14ac:dyDescent="0.2">
      <c r="A10" s="3">
        <v>8</v>
      </c>
      <c r="B10" s="4">
        <v>44292.830127314817</v>
      </c>
      <c r="C10">
        <v>18</v>
      </c>
      <c r="D10">
        <v>0</v>
      </c>
      <c r="E10">
        <v>0</v>
      </c>
      <c r="G10">
        <v>0</v>
      </c>
      <c r="H10">
        <v>1.0000000000000001E-5</v>
      </c>
      <c r="I10">
        <v>232.5</v>
      </c>
      <c r="J10" s="4">
        <v>44295.770162037043</v>
      </c>
      <c r="K10">
        <v>1.65</v>
      </c>
      <c r="L10">
        <v>1.1100000000000001</v>
      </c>
      <c r="M10">
        <v>1.94</v>
      </c>
      <c r="N10">
        <v>43</v>
      </c>
      <c r="O10">
        <v>149</v>
      </c>
      <c r="P10">
        <v>0.30884480224609367</v>
      </c>
    </row>
    <row r="11" spans="1:16" x14ac:dyDescent="0.2">
      <c r="A11" s="3">
        <v>9</v>
      </c>
      <c r="B11" s="4">
        <v>44295.819143518522</v>
      </c>
      <c r="C11">
        <v>22.22</v>
      </c>
      <c r="D11">
        <v>22.25</v>
      </c>
      <c r="E11">
        <v>23.1</v>
      </c>
      <c r="F11">
        <v>87</v>
      </c>
      <c r="G11">
        <v>20</v>
      </c>
      <c r="H11">
        <v>0.30121548400878911</v>
      </c>
      <c r="I11">
        <v>235</v>
      </c>
      <c r="J11" s="4">
        <v>44295.83252314815</v>
      </c>
      <c r="K11">
        <v>1.76</v>
      </c>
      <c r="L11">
        <v>1.54</v>
      </c>
      <c r="M11">
        <v>1.84</v>
      </c>
      <c r="N11">
        <v>29</v>
      </c>
      <c r="O11">
        <v>436</v>
      </c>
      <c r="P11">
        <v>0.28015856567382802</v>
      </c>
    </row>
    <row r="12" spans="1:16" x14ac:dyDescent="0.2">
      <c r="A12" s="3">
        <v>10</v>
      </c>
      <c r="B12" s="4">
        <v>44295.760092592587</v>
      </c>
      <c r="C12">
        <v>19.37</v>
      </c>
      <c r="D12">
        <v>20</v>
      </c>
      <c r="E12">
        <v>21.05</v>
      </c>
      <c r="F12">
        <v>16</v>
      </c>
      <c r="G12">
        <v>9</v>
      </c>
      <c r="H12">
        <v>0.29785858398437493</v>
      </c>
      <c r="I12">
        <v>237.5</v>
      </c>
      <c r="J12" s="4">
        <v>44294.812013888892</v>
      </c>
      <c r="K12">
        <v>2.52</v>
      </c>
      <c r="L12">
        <v>0</v>
      </c>
      <c r="M12">
        <v>0</v>
      </c>
      <c r="N12">
        <v>29</v>
      </c>
      <c r="O12">
        <v>0</v>
      </c>
      <c r="P12">
        <v>6.2509375000000006E-2</v>
      </c>
    </row>
    <row r="13" spans="1:16" x14ac:dyDescent="0.2">
      <c r="A13" s="3">
        <v>11</v>
      </c>
      <c r="B13" s="4">
        <v>44295.810972222222</v>
      </c>
      <c r="C13">
        <v>17.579999999999998</v>
      </c>
      <c r="D13">
        <v>18.149999999999999</v>
      </c>
      <c r="E13">
        <v>18.899999999999999</v>
      </c>
      <c r="F13">
        <v>9</v>
      </c>
      <c r="G13">
        <v>44</v>
      </c>
      <c r="H13">
        <v>0.28723857299804678</v>
      </c>
      <c r="I13">
        <v>240</v>
      </c>
      <c r="J13" s="4">
        <v>44295.81622685185</v>
      </c>
      <c r="K13">
        <v>2.57</v>
      </c>
      <c r="L13">
        <v>2.2999999999999998</v>
      </c>
      <c r="M13">
        <v>2.5499999999999998</v>
      </c>
      <c r="N13">
        <v>14</v>
      </c>
      <c r="O13">
        <v>91</v>
      </c>
      <c r="P13">
        <v>0.26575441284179691</v>
      </c>
    </row>
    <row r="14" spans="1:16" x14ac:dyDescent="0.2">
      <c r="A14" s="3">
        <v>12</v>
      </c>
      <c r="B14" s="4">
        <v>44295.825601851851</v>
      </c>
      <c r="C14">
        <v>15.8</v>
      </c>
      <c r="D14">
        <v>15.9</v>
      </c>
      <c r="E14">
        <v>16.75</v>
      </c>
      <c r="F14">
        <v>9</v>
      </c>
      <c r="G14">
        <v>23</v>
      </c>
      <c r="H14">
        <v>0.27460442199707041</v>
      </c>
      <c r="I14">
        <v>242.5</v>
      </c>
      <c r="J14" s="4">
        <v>44295.815254629633</v>
      </c>
      <c r="K14">
        <v>3.03</v>
      </c>
      <c r="L14">
        <v>2.75</v>
      </c>
      <c r="M14">
        <v>3.05</v>
      </c>
      <c r="N14">
        <v>496</v>
      </c>
      <c r="O14">
        <v>549</v>
      </c>
      <c r="P14">
        <v>0.26062751098632808</v>
      </c>
    </row>
    <row r="15" spans="1:16" x14ac:dyDescent="0.2">
      <c r="A15" s="3">
        <v>13</v>
      </c>
      <c r="B15" s="4">
        <v>44295.826296296298</v>
      </c>
      <c r="C15">
        <v>13.86</v>
      </c>
      <c r="D15">
        <v>13.95</v>
      </c>
      <c r="E15">
        <v>14.7</v>
      </c>
      <c r="F15">
        <v>9</v>
      </c>
      <c r="G15">
        <v>77</v>
      </c>
      <c r="H15">
        <v>0.26355716918945321</v>
      </c>
      <c r="I15">
        <v>245</v>
      </c>
      <c r="J15" s="4">
        <v>44294.821203703701</v>
      </c>
      <c r="K15">
        <v>4.3499999999999996</v>
      </c>
      <c r="L15">
        <v>0</v>
      </c>
      <c r="M15">
        <v>0</v>
      </c>
      <c r="N15">
        <v>175</v>
      </c>
      <c r="O15">
        <v>0</v>
      </c>
      <c r="P15">
        <v>3.1259687500000001E-2</v>
      </c>
    </row>
    <row r="16" spans="1:16" x14ac:dyDescent="0.2">
      <c r="A16" s="3">
        <v>14</v>
      </c>
      <c r="B16" s="4">
        <v>44295.824525462973</v>
      </c>
      <c r="C16">
        <v>12.2</v>
      </c>
      <c r="D16">
        <v>12.35</v>
      </c>
      <c r="E16">
        <v>13</v>
      </c>
      <c r="F16">
        <v>7</v>
      </c>
      <c r="G16">
        <v>116</v>
      </c>
      <c r="H16">
        <v>0.26227544372558598</v>
      </c>
      <c r="I16">
        <v>247.5</v>
      </c>
      <c r="J16" s="4">
        <v>44294.801377314812</v>
      </c>
      <c r="K16">
        <v>5.0999999999999996</v>
      </c>
      <c r="L16">
        <v>0</v>
      </c>
      <c r="M16">
        <v>0</v>
      </c>
      <c r="N16">
        <v>79</v>
      </c>
      <c r="O16">
        <v>0</v>
      </c>
      <c r="P16">
        <v>3.1259687500000001E-2</v>
      </c>
    </row>
    <row r="17" spans="1:16" x14ac:dyDescent="0.2">
      <c r="A17" s="3">
        <v>15</v>
      </c>
      <c r="B17" s="4">
        <v>44295.832280092603</v>
      </c>
      <c r="C17">
        <v>10.9</v>
      </c>
      <c r="D17">
        <v>10.55</v>
      </c>
      <c r="E17">
        <v>11.3</v>
      </c>
      <c r="F17">
        <v>81</v>
      </c>
      <c r="G17">
        <v>236</v>
      </c>
      <c r="H17">
        <v>0.25733164550781251</v>
      </c>
      <c r="I17">
        <v>250</v>
      </c>
      <c r="J17" s="4">
        <v>44294.821203703701</v>
      </c>
      <c r="K17">
        <v>6.07</v>
      </c>
      <c r="L17">
        <v>0</v>
      </c>
      <c r="M17">
        <v>0</v>
      </c>
      <c r="N17">
        <v>32</v>
      </c>
      <c r="O17">
        <v>0</v>
      </c>
      <c r="P17">
        <v>1.5634843749999999E-2</v>
      </c>
    </row>
    <row r="18" spans="1:16" x14ac:dyDescent="0.2">
      <c r="A18" s="3">
        <v>16</v>
      </c>
      <c r="B18" s="4">
        <v>44295.83253472222</v>
      </c>
      <c r="C18">
        <v>9.35</v>
      </c>
      <c r="D18">
        <v>9.0500000000000007</v>
      </c>
      <c r="E18">
        <v>9.6</v>
      </c>
      <c r="F18">
        <v>60</v>
      </c>
      <c r="G18">
        <v>295</v>
      </c>
      <c r="H18">
        <v>0.2487868090820313</v>
      </c>
      <c r="I18">
        <v>252.5</v>
      </c>
      <c r="J18" s="4">
        <v>44294.801261574074</v>
      </c>
      <c r="K18">
        <v>7.08</v>
      </c>
      <c r="L18">
        <v>0</v>
      </c>
      <c r="M18">
        <v>0</v>
      </c>
      <c r="N18">
        <v>5</v>
      </c>
      <c r="O18">
        <v>0</v>
      </c>
      <c r="P18">
        <v>7.8224218750000008E-3</v>
      </c>
    </row>
    <row r="19" spans="1:16" x14ac:dyDescent="0.2">
      <c r="A19" s="3">
        <v>17</v>
      </c>
      <c r="B19" s="4">
        <v>44295.819409722222</v>
      </c>
      <c r="C19">
        <v>7.65</v>
      </c>
      <c r="D19">
        <v>7.75</v>
      </c>
      <c r="E19">
        <v>8.15</v>
      </c>
      <c r="F19">
        <v>336</v>
      </c>
      <c r="G19">
        <v>188</v>
      </c>
      <c r="H19">
        <v>0.2445754254150391</v>
      </c>
      <c r="I19">
        <v>255</v>
      </c>
      <c r="J19" s="4">
        <v>44294.827569444453</v>
      </c>
      <c r="K19">
        <v>8.32</v>
      </c>
      <c r="L19">
        <v>0</v>
      </c>
      <c r="M19">
        <v>0</v>
      </c>
      <c r="N19">
        <v>19</v>
      </c>
      <c r="O19">
        <v>0</v>
      </c>
      <c r="P19">
        <v>3.9162109375000002E-3</v>
      </c>
    </row>
    <row r="20" spans="1:16" x14ac:dyDescent="0.2">
      <c r="A20" s="3">
        <v>18</v>
      </c>
      <c r="B20" s="4">
        <v>44295.824560185189</v>
      </c>
      <c r="C20">
        <v>6.32</v>
      </c>
      <c r="D20">
        <v>6.6</v>
      </c>
      <c r="E20">
        <v>7</v>
      </c>
      <c r="F20">
        <v>43</v>
      </c>
      <c r="G20">
        <v>4497</v>
      </c>
      <c r="H20">
        <v>0.2459181854248047</v>
      </c>
      <c r="I20">
        <v>257.5</v>
      </c>
      <c r="J20" s="4">
        <v>44293.588495370372</v>
      </c>
      <c r="K20">
        <v>12.2</v>
      </c>
      <c r="L20">
        <v>0</v>
      </c>
      <c r="M20">
        <v>0</v>
      </c>
      <c r="O20">
        <v>0</v>
      </c>
      <c r="P20">
        <v>1.0000000000000001E-5</v>
      </c>
    </row>
    <row r="21" spans="1:16" x14ac:dyDescent="0.2">
      <c r="A21" s="3">
        <v>19</v>
      </c>
      <c r="B21" s="4">
        <v>44295.83253472222</v>
      </c>
      <c r="C21">
        <v>5.65</v>
      </c>
      <c r="D21">
        <v>5.45</v>
      </c>
      <c r="E21">
        <v>5.85</v>
      </c>
      <c r="F21">
        <v>110</v>
      </c>
      <c r="G21">
        <v>1039</v>
      </c>
      <c r="H21">
        <v>0.24323266540527341</v>
      </c>
      <c r="I21">
        <v>260</v>
      </c>
      <c r="J21" s="4">
        <v>44293.763888888891</v>
      </c>
      <c r="K21">
        <v>13</v>
      </c>
      <c r="L21">
        <v>0</v>
      </c>
      <c r="M21">
        <v>0</v>
      </c>
      <c r="O21">
        <v>0</v>
      </c>
      <c r="P21">
        <v>1.0000000000000001E-5</v>
      </c>
    </row>
    <row r="22" spans="1:16" x14ac:dyDescent="0.2">
      <c r="A22" s="3">
        <v>20</v>
      </c>
      <c r="B22" s="4">
        <v>44294.726238425923</v>
      </c>
      <c r="C22">
        <v>3.55</v>
      </c>
      <c r="D22">
        <v>3.25</v>
      </c>
      <c r="E22">
        <v>3.95</v>
      </c>
      <c r="F22">
        <v>6</v>
      </c>
      <c r="H22">
        <v>0.21118952880859371</v>
      </c>
      <c r="I22">
        <v>262.5</v>
      </c>
    </row>
    <row r="23" spans="1:16" x14ac:dyDescent="0.2">
      <c r="A23" s="3">
        <v>21</v>
      </c>
      <c r="B23" s="4">
        <v>44295.833020833343</v>
      </c>
      <c r="C23">
        <v>3.83</v>
      </c>
      <c r="D23">
        <v>3.65</v>
      </c>
      <c r="E23">
        <v>3.95</v>
      </c>
      <c r="F23">
        <v>107</v>
      </c>
      <c r="G23">
        <v>4773</v>
      </c>
      <c r="H23">
        <v>0.2385330053710937</v>
      </c>
      <c r="I23">
        <v>265</v>
      </c>
      <c r="J23" s="4">
        <v>44295.778865740736</v>
      </c>
      <c r="K23">
        <v>13.8</v>
      </c>
      <c r="L23">
        <v>12.6</v>
      </c>
      <c r="M23">
        <v>13.05</v>
      </c>
      <c r="N23">
        <v>2</v>
      </c>
      <c r="O23">
        <v>6</v>
      </c>
      <c r="P23">
        <v>0.23688507263183589</v>
      </c>
    </row>
    <row r="24" spans="1:16" x14ac:dyDescent="0.2">
      <c r="A24" s="3">
        <v>22</v>
      </c>
      <c r="B24" s="4">
        <v>44294.680115740739</v>
      </c>
      <c r="C24">
        <v>2.5099999999999998</v>
      </c>
      <c r="D24">
        <v>0</v>
      </c>
      <c r="E24">
        <v>0</v>
      </c>
      <c r="F24">
        <v>7</v>
      </c>
      <c r="H24">
        <v>3.1259687500000001E-2</v>
      </c>
      <c r="I24">
        <v>267.5</v>
      </c>
    </row>
    <row r="25" spans="1:16" x14ac:dyDescent="0.2">
      <c r="A25" s="3">
        <v>23</v>
      </c>
      <c r="B25" s="4">
        <v>44295.824560185189</v>
      </c>
      <c r="C25">
        <v>2.4</v>
      </c>
      <c r="D25">
        <v>2.14</v>
      </c>
      <c r="E25">
        <v>2.96</v>
      </c>
      <c r="F25">
        <v>22</v>
      </c>
      <c r="G25">
        <v>246</v>
      </c>
      <c r="H25">
        <v>0.25122819091796872</v>
      </c>
      <c r="I25">
        <v>270</v>
      </c>
      <c r="J25" s="4">
        <v>44295.740972222222</v>
      </c>
      <c r="K25">
        <v>17.43</v>
      </c>
      <c r="L25">
        <v>16.05</v>
      </c>
      <c r="M25">
        <v>17</v>
      </c>
      <c r="N25">
        <v>11</v>
      </c>
      <c r="O25">
        <v>201</v>
      </c>
      <c r="P25">
        <v>0.2469557727050781</v>
      </c>
    </row>
    <row r="26" spans="1:16" x14ac:dyDescent="0.2">
      <c r="A26" s="3">
        <v>24</v>
      </c>
      <c r="B26" s="4">
        <v>44294.646238425928</v>
      </c>
      <c r="C26">
        <v>1.63</v>
      </c>
      <c r="D26">
        <v>1.32</v>
      </c>
      <c r="E26">
        <v>1.74</v>
      </c>
      <c r="F26">
        <v>9</v>
      </c>
      <c r="H26">
        <v>0.2207719525146484</v>
      </c>
      <c r="I26">
        <v>272.5</v>
      </c>
    </row>
    <row r="27" spans="1:16" x14ac:dyDescent="0.2">
      <c r="A27" s="3">
        <v>25</v>
      </c>
      <c r="B27" s="4">
        <v>44294.832025462973</v>
      </c>
      <c r="C27">
        <v>1.27</v>
      </c>
      <c r="D27">
        <v>0</v>
      </c>
      <c r="E27">
        <v>0</v>
      </c>
      <c r="F27">
        <v>8</v>
      </c>
      <c r="G27">
        <v>0</v>
      </c>
      <c r="H27">
        <v>6.2509375000000006E-2</v>
      </c>
      <c r="I27">
        <v>275</v>
      </c>
    </row>
    <row r="28" spans="1:16" x14ac:dyDescent="0.2">
      <c r="A28" s="3">
        <v>26</v>
      </c>
      <c r="B28" s="4">
        <v>44294.808055555557</v>
      </c>
      <c r="C28">
        <v>0.88</v>
      </c>
      <c r="D28">
        <v>0</v>
      </c>
      <c r="E28">
        <v>0</v>
      </c>
      <c r="F28">
        <v>4</v>
      </c>
      <c r="G28">
        <v>0</v>
      </c>
      <c r="H28">
        <v>6.2509375000000006E-2</v>
      </c>
      <c r="I28">
        <v>280</v>
      </c>
    </row>
    <row r="29" spans="1:16" x14ac:dyDescent="0.2">
      <c r="A29" s="3">
        <v>27</v>
      </c>
      <c r="B29" s="4">
        <v>44294.802418981482</v>
      </c>
      <c r="C29">
        <v>0.61</v>
      </c>
      <c r="D29">
        <v>0</v>
      </c>
      <c r="E29">
        <v>0</v>
      </c>
      <c r="F29">
        <v>7</v>
      </c>
      <c r="G29">
        <v>0</v>
      </c>
      <c r="H29">
        <v>6.2509375000000006E-2</v>
      </c>
      <c r="I29">
        <v>285</v>
      </c>
    </row>
    <row r="30" spans="1:16" x14ac:dyDescent="0.2">
      <c r="A30" s="3">
        <v>28</v>
      </c>
      <c r="B30" s="4">
        <v>44294.629328703697</v>
      </c>
      <c r="C30">
        <v>0.48</v>
      </c>
      <c r="D30">
        <v>0</v>
      </c>
      <c r="E30">
        <v>0</v>
      </c>
      <c r="F30">
        <v>3</v>
      </c>
      <c r="G30">
        <v>0</v>
      </c>
      <c r="H30">
        <v>6.2509375000000006E-2</v>
      </c>
      <c r="I30">
        <v>290</v>
      </c>
    </row>
    <row r="31" spans="1:16" x14ac:dyDescent="0.2">
      <c r="A31" s="3">
        <v>29</v>
      </c>
      <c r="B31" s="4">
        <v>44294.588287037041</v>
      </c>
      <c r="C31">
        <v>0.37</v>
      </c>
      <c r="D31">
        <v>0</v>
      </c>
      <c r="E31">
        <v>0</v>
      </c>
      <c r="F31">
        <v>2</v>
      </c>
      <c r="G31">
        <v>0</v>
      </c>
      <c r="H31">
        <v>0.12500875</v>
      </c>
      <c r="I31">
        <v>295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7"/>
  <dimension ref="A1:P51"/>
  <sheetViews>
    <sheetView workbookViewId="0"/>
  </sheetViews>
  <sheetFormatPr baseColWidth="10" defaultColWidth="8.83203125" defaultRowHeight="16" x14ac:dyDescent="0.2"/>
  <cols>
    <col min="2" max="2" width="19" customWidth="1"/>
  </cols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44293.775509259263</v>
      </c>
      <c r="C2">
        <v>135.5</v>
      </c>
      <c r="D2">
        <v>140.25</v>
      </c>
      <c r="E2">
        <v>141.65</v>
      </c>
      <c r="F2">
        <v>1</v>
      </c>
      <c r="G2">
        <v>15</v>
      </c>
      <c r="H2">
        <v>0.93359441406249999</v>
      </c>
      <c r="I2">
        <v>115</v>
      </c>
      <c r="J2" s="4">
        <v>44295.743622685193</v>
      </c>
      <c r="K2">
        <v>0.02</v>
      </c>
      <c r="L2">
        <v>0</v>
      </c>
      <c r="M2">
        <v>7.0000000000000007E-2</v>
      </c>
      <c r="N2">
        <v>50</v>
      </c>
      <c r="O2">
        <v>834</v>
      </c>
      <c r="P2">
        <v>0.83593914062499985</v>
      </c>
    </row>
    <row r="3" spans="1:16" x14ac:dyDescent="0.2">
      <c r="A3" s="3">
        <v>1</v>
      </c>
      <c r="B3" s="4">
        <v>44294.565694444442</v>
      </c>
      <c r="C3">
        <v>132.69999999999999</v>
      </c>
      <c r="D3">
        <v>135.25</v>
      </c>
      <c r="E3">
        <v>136.65</v>
      </c>
      <c r="F3">
        <v>1</v>
      </c>
      <c r="G3">
        <v>25</v>
      </c>
      <c r="H3">
        <v>0.88671988281249992</v>
      </c>
      <c r="I3">
        <v>120</v>
      </c>
      <c r="J3" s="4">
        <v>44293.621400462973</v>
      </c>
      <c r="K3">
        <v>0.04</v>
      </c>
      <c r="L3">
        <v>0</v>
      </c>
      <c r="M3">
        <v>0.05</v>
      </c>
      <c r="N3">
        <v>1</v>
      </c>
      <c r="O3">
        <v>101</v>
      </c>
      <c r="P3">
        <v>0.77343976562500005</v>
      </c>
    </row>
    <row r="4" spans="1:16" x14ac:dyDescent="0.2">
      <c r="A4" s="3">
        <v>2</v>
      </c>
      <c r="B4" s="4">
        <v>44284.599791666667</v>
      </c>
      <c r="C4">
        <v>107.75</v>
      </c>
      <c r="D4">
        <v>130.25</v>
      </c>
      <c r="E4">
        <v>131.65</v>
      </c>
      <c r="F4">
        <v>1</v>
      </c>
      <c r="G4">
        <v>17</v>
      </c>
      <c r="H4">
        <v>0.84179845703125</v>
      </c>
      <c r="I4">
        <v>125</v>
      </c>
      <c r="J4" s="4">
        <v>44294.708854166667</v>
      </c>
      <c r="K4">
        <v>0.04</v>
      </c>
      <c r="L4">
        <v>0</v>
      </c>
      <c r="M4">
        <v>0.05</v>
      </c>
      <c r="N4">
        <v>200</v>
      </c>
      <c r="O4">
        <v>356</v>
      </c>
      <c r="P4">
        <v>0.73047144531249997</v>
      </c>
    </row>
    <row r="5" spans="1:16" x14ac:dyDescent="0.2">
      <c r="A5" s="3">
        <v>3</v>
      </c>
      <c r="B5" s="4">
        <v>44291.70416666667</v>
      </c>
      <c r="C5">
        <v>119.3</v>
      </c>
      <c r="D5">
        <v>125.25</v>
      </c>
      <c r="E5">
        <v>126.65</v>
      </c>
      <c r="F5">
        <v>16</v>
      </c>
      <c r="G5">
        <v>17</v>
      </c>
      <c r="H5">
        <v>0.79883013671875003</v>
      </c>
      <c r="I5">
        <v>130</v>
      </c>
      <c r="J5" s="4">
        <v>44295.650636574072</v>
      </c>
      <c r="K5">
        <v>0.05</v>
      </c>
      <c r="L5">
        <v>0</v>
      </c>
      <c r="M5">
        <v>0.06</v>
      </c>
      <c r="N5">
        <v>45</v>
      </c>
      <c r="O5">
        <v>178</v>
      </c>
      <c r="P5">
        <v>0.70703417968750004</v>
      </c>
    </row>
    <row r="6" spans="1:16" x14ac:dyDescent="0.2">
      <c r="A6" s="3">
        <v>4</v>
      </c>
      <c r="B6" s="4">
        <v>44280.702777777777</v>
      </c>
      <c r="C6">
        <v>97.25</v>
      </c>
      <c r="D6">
        <v>120.3</v>
      </c>
      <c r="E6">
        <v>121.65</v>
      </c>
      <c r="F6">
        <v>33</v>
      </c>
      <c r="G6">
        <v>38</v>
      </c>
      <c r="H6">
        <v>0.77734597656250004</v>
      </c>
      <c r="I6">
        <v>135</v>
      </c>
      <c r="J6" s="4">
        <v>44295.789363425924</v>
      </c>
      <c r="K6">
        <v>0.06</v>
      </c>
      <c r="L6">
        <v>0.02</v>
      </c>
      <c r="M6">
        <v>0.09</v>
      </c>
      <c r="N6">
        <v>100</v>
      </c>
      <c r="O6">
        <v>288</v>
      </c>
      <c r="P6">
        <v>0.71094039062500003</v>
      </c>
    </row>
    <row r="7" spans="1:16" x14ac:dyDescent="0.2">
      <c r="A7" s="3">
        <v>5</v>
      </c>
      <c r="B7" s="4">
        <v>44294.594965277778</v>
      </c>
      <c r="C7">
        <v>114.09</v>
      </c>
      <c r="D7">
        <v>115.3</v>
      </c>
      <c r="E7">
        <v>116.7</v>
      </c>
      <c r="F7">
        <v>1</v>
      </c>
      <c r="G7">
        <v>20</v>
      </c>
      <c r="H7">
        <v>0.7539087109375</v>
      </c>
      <c r="I7">
        <v>140</v>
      </c>
      <c r="J7" s="4">
        <v>44292.825810185182</v>
      </c>
      <c r="K7">
        <v>7.0000000000000007E-2</v>
      </c>
      <c r="L7">
        <v>7.0000000000000007E-2</v>
      </c>
      <c r="M7">
        <v>0.11</v>
      </c>
      <c r="N7">
        <v>3</v>
      </c>
      <c r="O7">
        <v>566</v>
      </c>
      <c r="P7">
        <v>0.71094039062500003</v>
      </c>
    </row>
    <row r="8" spans="1:16" x14ac:dyDescent="0.2">
      <c r="A8" s="3">
        <v>6</v>
      </c>
      <c r="B8" s="4">
        <v>44291.736030092587</v>
      </c>
      <c r="C8">
        <v>108.55</v>
      </c>
      <c r="D8">
        <v>110.3</v>
      </c>
      <c r="E8">
        <v>111.7</v>
      </c>
      <c r="F8">
        <v>4</v>
      </c>
      <c r="G8">
        <v>13</v>
      </c>
      <c r="H8">
        <v>0.7138700488281251</v>
      </c>
      <c r="I8">
        <v>145</v>
      </c>
      <c r="J8" s="4">
        <v>44295.773796296293</v>
      </c>
      <c r="K8">
        <v>0.09</v>
      </c>
      <c r="L8">
        <v>0.06</v>
      </c>
      <c r="M8">
        <v>0.1</v>
      </c>
      <c r="N8">
        <v>10</v>
      </c>
      <c r="O8">
        <v>202</v>
      </c>
      <c r="P8">
        <v>0.66308930664062515</v>
      </c>
    </row>
    <row r="9" spans="1:16" x14ac:dyDescent="0.2">
      <c r="A9" s="3">
        <v>7</v>
      </c>
      <c r="B9" s="4">
        <v>44293.660821759258</v>
      </c>
      <c r="C9">
        <v>100.3</v>
      </c>
      <c r="D9">
        <v>105.35</v>
      </c>
      <c r="E9">
        <v>106.75</v>
      </c>
      <c r="F9">
        <v>2</v>
      </c>
      <c r="G9">
        <v>33</v>
      </c>
      <c r="H9">
        <v>0.70117486328125</v>
      </c>
      <c r="I9">
        <v>150</v>
      </c>
      <c r="J9" s="4">
        <v>44295.644525462973</v>
      </c>
      <c r="K9">
        <v>0.12</v>
      </c>
      <c r="L9">
        <v>0.08</v>
      </c>
      <c r="M9">
        <v>0.1</v>
      </c>
      <c r="N9">
        <v>50</v>
      </c>
      <c r="O9">
        <v>301</v>
      </c>
      <c r="P9">
        <v>0.6347692773437501</v>
      </c>
    </row>
    <row r="10" spans="1:16" x14ac:dyDescent="0.2">
      <c r="A10" s="3">
        <v>8</v>
      </c>
      <c r="B10" s="4">
        <v>44291.706770833327</v>
      </c>
      <c r="C10">
        <v>94.25</v>
      </c>
      <c r="D10">
        <v>0</v>
      </c>
      <c r="E10">
        <v>0</v>
      </c>
      <c r="G10">
        <v>0</v>
      </c>
      <c r="H10">
        <v>1.0000000000000001E-5</v>
      </c>
      <c r="I10">
        <v>155</v>
      </c>
      <c r="J10" s="4">
        <v>44291.72351851852</v>
      </c>
      <c r="K10">
        <v>0.19</v>
      </c>
      <c r="L10">
        <v>0.09</v>
      </c>
      <c r="M10">
        <v>0.17</v>
      </c>
      <c r="N10">
        <v>78</v>
      </c>
      <c r="O10">
        <v>371</v>
      </c>
      <c r="P10">
        <v>0.62695685546875013</v>
      </c>
    </row>
    <row r="11" spans="1:16" x14ac:dyDescent="0.2">
      <c r="A11" s="3">
        <v>9</v>
      </c>
      <c r="B11" s="4">
        <v>44294.586527777778</v>
      </c>
      <c r="C11">
        <v>94.02</v>
      </c>
      <c r="D11">
        <v>95.4</v>
      </c>
      <c r="E11">
        <v>96.8</v>
      </c>
      <c r="F11">
        <v>1</v>
      </c>
      <c r="G11">
        <v>15</v>
      </c>
      <c r="H11">
        <v>0.6435582519531251</v>
      </c>
      <c r="I11">
        <v>160</v>
      </c>
      <c r="J11" s="4">
        <v>44295.588692129633</v>
      </c>
      <c r="K11">
        <v>0.18</v>
      </c>
      <c r="L11">
        <v>0.12</v>
      </c>
      <c r="M11">
        <v>0.17</v>
      </c>
      <c r="N11">
        <v>5</v>
      </c>
      <c r="O11">
        <v>293</v>
      </c>
      <c r="P11">
        <v>0.59863682617187508</v>
      </c>
    </row>
    <row r="12" spans="1:16" x14ac:dyDescent="0.2">
      <c r="A12" s="3">
        <v>10</v>
      </c>
      <c r="B12" s="4">
        <v>44295.70449074074</v>
      </c>
      <c r="C12">
        <v>89.61</v>
      </c>
      <c r="D12">
        <v>90.45</v>
      </c>
      <c r="E12">
        <v>91.8</v>
      </c>
      <c r="F12">
        <v>1</v>
      </c>
      <c r="G12">
        <v>1</v>
      </c>
      <c r="H12">
        <v>0.61474994628906254</v>
      </c>
      <c r="I12">
        <v>165</v>
      </c>
      <c r="J12" s="4">
        <v>44292.581921296303</v>
      </c>
      <c r="K12">
        <v>0.25</v>
      </c>
      <c r="L12">
        <v>0.15</v>
      </c>
      <c r="M12">
        <v>0.23</v>
      </c>
      <c r="N12">
        <v>35</v>
      </c>
      <c r="O12">
        <v>176</v>
      </c>
      <c r="P12">
        <v>0.58398853515624993</v>
      </c>
    </row>
    <row r="13" spans="1:16" x14ac:dyDescent="0.2">
      <c r="A13" s="3">
        <v>11</v>
      </c>
      <c r="B13" s="4">
        <v>44293.645451388889</v>
      </c>
      <c r="C13">
        <v>80.400000000000006</v>
      </c>
      <c r="D13">
        <v>85.45</v>
      </c>
      <c r="E13">
        <v>86.85</v>
      </c>
      <c r="F13">
        <v>5</v>
      </c>
      <c r="G13">
        <v>14</v>
      </c>
      <c r="H13">
        <v>0.58496508789062496</v>
      </c>
      <c r="I13">
        <v>170</v>
      </c>
      <c r="J13" s="4">
        <v>44295.72142361111</v>
      </c>
      <c r="K13">
        <v>0.24</v>
      </c>
      <c r="L13">
        <v>0.23</v>
      </c>
      <c r="M13">
        <v>0.26</v>
      </c>
      <c r="N13">
        <v>111</v>
      </c>
      <c r="O13">
        <v>568</v>
      </c>
      <c r="P13">
        <v>0.56836369140624998</v>
      </c>
    </row>
    <row r="14" spans="1:16" x14ac:dyDescent="0.2">
      <c r="A14" s="3">
        <v>12</v>
      </c>
      <c r="B14" s="4">
        <v>44287.613969907397</v>
      </c>
      <c r="C14">
        <v>67.42</v>
      </c>
      <c r="D14">
        <v>80.55</v>
      </c>
      <c r="E14">
        <v>81.8</v>
      </c>
      <c r="F14">
        <v>2</v>
      </c>
      <c r="G14">
        <v>35</v>
      </c>
      <c r="H14">
        <v>0.55518022949218759</v>
      </c>
      <c r="I14">
        <v>175</v>
      </c>
      <c r="J14" s="4">
        <v>44295.655729166669</v>
      </c>
      <c r="K14">
        <v>0.28999999999999998</v>
      </c>
      <c r="L14">
        <v>0.22</v>
      </c>
      <c r="M14">
        <v>0.3</v>
      </c>
      <c r="N14">
        <v>11</v>
      </c>
      <c r="O14">
        <v>483</v>
      </c>
      <c r="P14">
        <v>0.53711400390625008</v>
      </c>
    </row>
    <row r="15" spans="1:16" x14ac:dyDescent="0.2">
      <c r="A15" s="3">
        <v>13</v>
      </c>
      <c r="B15" s="4">
        <v>44295.762997685182</v>
      </c>
      <c r="C15">
        <v>74.77</v>
      </c>
      <c r="D15">
        <v>75.55</v>
      </c>
      <c r="E15">
        <v>76.849999999999994</v>
      </c>
      <c r="F15">
        <v>8</v>
      </c>
      <c r="G15">
        <v>29</v>
      </c>
      <c r="H15">
        <v>0.52539537109375001</v>
      </c>
      <c r="I15">
        <v>180</v>
      </c>
      <c r="J15" s="4">
        <v>44295.785787037043</v>
      </c>
      <c r="K15">
        <v>0.32</v>
      </c>
      <c r="L15">
        <v>0.3</v>
      </c>
      <c r="M15">
        <v>0.34</v>
      </c>
      <c r="N15">
        <v>43</v>
      </c>
      <c r="O15">
        <v>1118</v>
      </c>
      <c r="P15">
        <v>0.51855950195312506</v>
      </c>
    </row>
    <row r="16" spans="1:16" x14ac:dyDescent="0.2">
      <c r="A16" s="3">
        <v>14</v>
      </c>
      <c r="B16" s="4">
        <v>44294.663310185177</v>
      </c>
      <c r="C16">
        <v>68.400000000000006</v>
      </c>
      <c r="D16">
        <v>70.55</v>
      </c>
      <c r="E16">
        <v>71.95</v>
      </c>
      <c r="F16">
        <v>32</v>
      </c>
      <c r="G16">
        <v>43</v>
      </c>
      <c r="H16">
        <v>0.50049327636718755</v>
      </c>
      <c r="I16">
        <v>185</v>
      </c>
      <c r="J16" s="4">
        <v>44295.623217592591</v>
      </c>
      <c r="K16">
        <v>0.38</v>
      </c>
      <c r="L16">
        <v>0.35</v>
      </c>
      <c r="M16">
        <v>0.39</v>
      </c>
      <c r="N16">
        <v>2</v>
      </c>
      <c r="O16">
        <v>1694</v>
      </c>
      <c r="P16">
        <v>0.49902844726562501</v>
      </c>
    </row>
    <row r="17" spans="1:16" x14ac:dyDescent="0.2">
      <c r="A17" s="3">
        <v>15</v>
      </c>
      <c r="B17" s="4">
        <v>44294.663310185177</v>
      </c>
      <c r="C17">
        <v>63.37</v>
      </c>
      <c r="D17">
        <v>65.599999999999994</v>
      </c>
      <c r="E17">
        <v>67</v>
      </c>
      <c r="F17">
        <v>2</v>
      </c>
      <c r="G17">
        <v>10</v>
      </c>
      <c r="H17">
        <v>0.57104921142578124</v>
      </c>
      <c r="I17">
        <v>190</v>
      </c>
      <c r="J17" s="4">
        <v>44295.774155092593</v>
      </c>
      <c r="K17">
        <v>0.42</v>
      </c>
      <c r="L17">
        <v>0.42</v>
      </c>
      <c r="M17">
        <v>0.44</v>
      </c>
      <c r="N17">
        <v>28</v>
      </c>
      <c r="O17">
        <v>1124</v>
      </c>
      <c r="P17">
        <v>0.47314979980468752</v>
      </c>
    </row>
    <row r="18" spans="1:16" x14ac:dyDescent="0.2">
      <c r="A18" s="3">
        <v>16</v>
      </c>
      <c r="B18" s="4">
        <v>44294.817430555559</v>
      </c>
      <c r="C18">
        <v>58.8</v>
      </c>
      <c r="D18">
        <v>60.7</v>
      </c>
      <c r="E18">
        <v>62.05</v>
      </c>
      <c r="F18">
        <v>10</v>
      </c>
      <c r="G18">
        <v>71</v>
      </c>
      <c r="H18">
        <v>0.53540503662109384</v>
      </c>
      <c r="I18">
        <v>195</v>
      </c>
      <c r="J18" s="4">
        <v>44295.822962962957</v>
      </c>
      <c r="K18">
        <v>0.47</v>
      </c>
      <c r="L18">
        <v>0.42</v>
      </c>
      <c r="M18">
        <v>0.5</v>
      </c>
      <c r="N18">
        <v>84</v>
      </c>
      <c r="O18">
        <v>2712</v>
      </c>
      <c r="P18">
        <v>0.44824770507812489</v>
      </c>
    </row>
    <row r="19" spans="1:16" x14ac:dyDescent="0.2">
      <c r="A19" s="3">
        <v>17</v>
      </c>
      <c r="B19" s="4">
        <v>44295.817789351851</v>
      </c>
      <c r="C19">
        <v>55.7</v>
      </c>
      <c r="D19">
        <v>55.75</v>
      </c>
      <c r="E19">
        <v>56.8</v>
      </c>
      <c r="F19">
        <v>47</v>
      </c>
      <c r="G19">
        <v>417</v>
      </c>
      <c r="H19">
        <v>0.46948772705078129</v>
      </c>
      <c r="I19">
        <v>200</v>
      </c>
      <c r="J19" s="4">
        <v>44295.806689814817</v>
      </c>
      <c r="K19">
        <v>0.55000000000000004</v>
      </c>
      <c r="L19">
        <v>0.5</v>
      </c>
      <c r="M19">
        <v>0.56999999999999995</v>
      </c>
      <c r="N19">
        <v>238</v>
      </c>
      <c r="O19">
        <v>2476</v>
      </c>
      <c r="P19">
        <v>0.42310147216796867</v>
      </c>
    </row>
    <row r="20" spans="1:16" x14ac:dyDescent="0.2">
      <c r="A20" s="3">
        <v>18</v>
      </c>
      <c r="B20" s="4">
        <v>44294.694560185177</v>
      </c>
      <c r="C20">
        <v>48.3</v>
      </c>
      <c r="D20">
        <v>50.8</v>
      </c>
      <c r="E20">
        <v>52.15</v>
      </c>
      <c r="F20">
        <v>7</v>
      </c>
      <c r="G20">
        <v>275</v>
      </c>
      <c r="H20">
        <v>0.46411668701171882</v>
      </c>
      <c r="I20">
        <v>205</v>
      </c>
      <c r="J20" s="4">
        <v>44295.823125000003</v>
      </c>
      <c r="K20">
        <v>0.63</v>
      </c>
      <c r="L20">
        <v>0.57999999999999996</v>
      </c>
      <c r="M20">
        <v>0.64</v>
      </c>
      <c r="N20">
        <v>339</v>
      </c>
      <c r="O20">
        <v>3343</v>
      </c>
      <c r="P20">
        <v>0.39673454833984378</v>
      </c>
    </row>
    <row r="21" spans="1:16" x14ac:dyDescent="0.2">
      <c r="A21" s="3">
        <v>19</v>
      </c>
      <c r="B21" s="4">
        <v>44295.79855324074</v>
      </c>
      <c r="C21">
        <v>45</v>
      </c>
      <c r="D21">
        <v>46</v>
      </c>
      <c r="E21">
        <v>46.95</v>
      </c>
      <c r="F21">
        <v>165</v>
      </c>
      <c r="G21">
        <v>438</v>
      </c>
      <c r="H21">
        <v>0.40723249023437502</v>
      </c>
      <c r="I21">
        <v>210</v>
      </c>
      <c r="J21" s="4">
        <v>44295.794479166667</v>
      </c>
      <c r="K21">
        <v>0.71</v>
      </c>
      <c r="L21">
        <v>0.65</v>
      </c>
      <c r="M21">
        <v>0.75</v>
      </c>
      <c r="N21">
        <v>459</v>
      </c>
      <c r="O21">
        <v>3697</v>
      </c>
      <c r="P21">
        <v>0.37354142089843739</v>
      </c>
    </row>
    <row r="22" spans="1:16" x14ac:dyDescent="0.2">
      <c r="A22" s="3">
        <v>20</v>
      </c>
      <c r="B22" s="4">
        <v>44295.718148148153</v>
      </c>
      <c r="C22">
        <v>40.35</v>
      </c>
      <c r="D22">
        <v>41.1</v>
      </c>
      <c r="E22">
        <v>42.35</v>
      </c>
      <c r="F22">
        <v>19</v>
      </c>
      <c r="G22">
        <v>236</v>
      </c>
      <c r="H22">
        <v>0.3996642065429688</v>
      </c>
      <c r="I22">
        <v>215</v>
      </c>
      <c r="J22" s="4">
        <v>44295.831666666672</v>
      </c>
      <c r="K22">
        <v>0.85</v>
      </c>
      <c r="L22">
        <v>0.8</v>
      </c>
      <c r="M22">
        <v>0.87</v>
      </c>
      <c r="N22">
        <v>700</v>
      </c>
      <c r="O22">
        <v>9536</v>
      </c>
      <c r="P22">
        <v>0.34888346435546869</v>
      </c>
    </row>
    <row r="23" spans="1:16" x14ac:dyDescent="0.2">
      <c r="A23" s="3">
        <v>21</v>
      </c>
      <c r="B23" s="4">
        <v>44295.833240740743</v>
      </c>
      <c r="C23">
        <v>36.35</v>
      </c>
      <c r="D23">
        <v>36.4</v>
      </c>
      <c r="E23">
        <v>37.15</v>
      </c>
      <c r="F23">
        <v>71</v>
      </c>
      <c r="G23">
        <v>1343</v>
      </c>
      <c r="H23">
        <v>0.34558759887695312</v>
      </c>
      <c r="I23">
        <v>220</v>
      </c>
      <c r="J23" s="4">
        <v>44295.831944444442</v>
      </c>
      <c r="K23">
        <v>1</v>
      </c>
      <c r="L23">
        <v>1</v>
      </c>
      <c r="M23">
        <v>1.05</v>
      </c>
      <c r="N23">
        <v>552</v>
      </c>
      <c r="O23">
        <v>6985</v>
      </c>
      <c r="P23">
        <v>0.32703309692382809</v>
      </c>
    </row>
    <row r="24" spans="1:16" x14ac:dyDescent="0.2">
      <c r="A24" s="3">
        <v>22</v>
      </c>
      <c r="B24" s="4">
        <v>44295.831747685188</v>
      </c>
      <c r="C24">
        <v>31.82</v>
      </c>
      <c r="D24">
        <v>31.75</v>
      </c>
      <c r="E24">
        <v>32.450000000000003</v>
      </c>
      <c r="F24">
        <v>151</v>
      </c>
      <c r="G24">
        <v>1396</v>
      </c>
      <c r="H24">
        <v>0.32544619873046871</v>
      </c>
      <c r="I24">
        <v>225</v>
      </c>
      <c r="J24" s="4">
        <v>44295.832951388889</v>
      </c>
      <c r="K24">
        <v>1.26</v>
      </c>
      <c r="L24">
        <v>1.2</v>
      </c>
      <c r="M24">
        <v>1.33</v>
      </c>
      <c r="N24">
        <v>1061</v>
      </c>
      <c r="O24">
        <v>12051</v>
      </c>
      <c r="P24">
        <v>0.30860066406249997</v>
      </c>
    </row>
    <row r="25" spans="1:16" x14ac:dyDescent="0.2">
      <c r="A25" s="3">
        <v>23</v>
      </c>
      <c r="B25" s="4">
        <v>44295.833240740743</v>
      </c>
      <c r="C25">
        <v>26.9</v>
      </c>
      <c r="D25">
        <v>26.9</v>
      </c>
      <c r="E25">
        <v>27.65</v>
      </c>
      <c r="F25">
        <v>535</v>
      </c>
      <c r="G25">
        <v>3108</v>
      </c>
      <c r="H25">
        <v>0.29566134033203118</v>
      </c>
      <c r="I25">
        <v>230</v>
      </c>
      <c r="J25" s="4">
        <v>44295.832025462973</v>
      </c>
      <c r="K25">
        <v>1.62</v>
      </c>
      <c r="L25">
        <v>1.6</v>
      </c>
      <c r="M25">
        <v>1.68</v>
      </c>
      <c r="N25">
        <v>894</v>
      </c>
      <c r="O25">
        <v>12870</v>
      </c>
      <c r="P25">
        <v>0.28931374755859368</v>
      </c>
    </row>
    <row r="26" spans="1:16" x14ac:dyDescent="0.2">
      <c r="A26" s="3">
        <v>24</v>
      </c>
      <c r="B26" s="4">
        <v>44295.825428240743</v>
      </c>
      <c r="C26">
        <v>22.8</v>
      </c>
      <c r="D26">
        <v>22.8</v>
      </c>
      <c r="E26">
        <v>23.3</v>
      </c>
      <c r="F26">
        <v>1279</v>
      </c>
      <c r="G26">
        <v>6610</v>
      </c>
      <c r="H26">
        <v>0.28394270751953121</v>
      </c>
      <c r="I26">
        <v>235</v>
      </c>
      <c r="J26" s="4">
        <v>44295.826111111113</v>
      </c>
      <c r="K26">
        <v>2.16</v>
      </c>
      <c r="L26">
        <v>2.08</v>
      </c>
      <c r="M26">
        <v>2.19</v>
      </c>
      <c r="N26">
        <v>736</v>
      </c>
      <c r="O26">
        <v>5657</v>
      </c>
      <c r="P26">
        <v>0.27234614379882799</v>
      </c>
    </row>
    <row r="27" spans="1:16" x14ac:dyDescent="0.2">
      <c r="A27" s="3">
        <v>25</v>
      </c>
      <c r="B27" s="4">
        <v>44295.82849537037</v>
      </c>
      <c r="C27">
        <v>18.3</v>
      </c>
      <c r="D27">
        <v>18.55</v>
      </c>
      <c r="E27">
        <v>19</v>
      </c>
      <c r="F27">
        <v>811</v>
      </c>
      <c r="G27">
        <v>12605</v>
      </c>
      <c r="H27">
        <v>0.26612062011718751</v>
      </c>
      <c r="I27">
        <v>240</v>
      </c>
      <c r="J27" s="4">
        <v>44295.832951388889</v>
      </c>
      <c r="K27">
        <v>2.97</v>
      </c>
      <c r="L27">
        <v>2.89</v>
      </c>
      <c r="M27">
        <v>3</v>
      </c>
      <c r="N27">
        <v>513</v>
      </c>
      <c r="O27">
        <v>3582</v>
      </c>
      <c r="P27">
        <v>0.26038337280273438</v>
      </c>
    </row>
    <row r="28" spans="1:16" x14ac:dyDescent="0.2">
      <c r="A28" s="3">
        <v>26</v>
      </c>
      <c r="B28" s="4">
        <v>44295.832789351851</v>
      </c>
      <c r="C28">
        <v>14.85</v>
      </c>
      <c r="D28">
        <v>14.65</v>
      </c>
      <c r="E28">
        <v>15.05</v>
      </c>
      <c r="F28">
        <v>785</v>
      </c>
      <c r="G28">
        <v>12679</v>
      </c>
      <c r="H28">
        <v>0.25238784729003899</v>
      </c>
      <c r="I28">
        <v>245</v>
      </c>
      <c r="J28" s="4">
        <v>44295.830092592587</v>
      </c>
      <c r="K28">
        <v>4.1500000000000004</v>
      </c>
      <c r="L28">
        <v>4.05</v>
      </c>
      <c r="M28">
        <v>4.2</v>
      </c>
      <c r="N28">
        <v>749</v>
      </c>
      <c r="O28">
        <v>2313</v>
      </c>
      <c r="P28">
        <v>0.25250991638183601</v>
      </c>
    </row>
    <row r="29" spans="1:16" x14ac:dyDescent="0.2">
      <c r="A29" s="3">
        <v>27</v>
      </c>
      <c r="B29" s="4">
        <v>44295.832442129627</v>
      </c>
      <c r="C29">
        <v>11.36</v>
      </c>
      <c r="D29">
        <v>11.25</v>
      </c>
      <c r="E29">
        <v>11.5</v>
      </c>
      <c r="F29">
        <v>1922</v>
      </c>
      <c r="G29">
        <v>13609</v>
      </c>
      <c r="H29">
        <v>0.24097438720703121</v>
      </c>
      <c r="I29">
        <v>250</v>
      </c>
      <c r="J29" s="4">
        <v>44295.830416666657</v>
      </c>
      <c r="K29">
        <v>5.75</v>
      </c>
      <c r="L29">
        <v>5.65</v>
      </c>
      <c r="M29">
        <v>5.85</v>
      </c>
      <c r="N29">
        <v>1037</v>
      </c>
      <c r="O29">
        <v>5176</v>
      </c>
      <c r="P29">
        <v>0.2471388763427734</v>
      </c>
    </row>
    <row r="30" spans="1:16" x14ac:dyDescent="0.2">
      <c r="A30" s="3">
        <v>28</v>
      </c>
      <c r="B30" s="4">
        <v>44295.832256944443</v>
      </c>
      <c r="C30">
        <v>8.4499999999999993</v>
      </c>
      <c r="D30">
        <v>8.4</v>
      </c>
      <c r="E30">
        <v>8.6</v>
      </c>
      <c r="F30">
        <v>1068</v>
      </c>
      <c r="G30">
        <v>8817</v>
      </c>
      <c r="H30">
        <v>0.23633576171875001</v>
      </c>
      <c r="I30">
        <v>255</v>
      </c>
      <c r="J30" s="4">
        <v>44295.832870370366</v>
      </c>
      <c r="K30">
        <v>7.85</v>
      </c>
      <c r="L30">
        <v>7.75</v>
      </c>
      <c r="M30">
        <v>8.0500000000000007</v>
      </c>
      <c r="N30">
        <v>791</v>
      </c>
      <c r="O30">
        <v>949</v>
      </c>
      <c r="P30">
        <v>0.24512473632812501</v>
      </c>
    </row>
    <row r="31" spans="1:16" x14ac:dyDescent="0.2">
      <c r="A31" s="3">
        <v>29</v>
      </c>
      <c r="B31" s="4">
        <v>44295.832986111112</v>
      </c>
      <c r="C31">
        <v>6.15</v>
      </c>
      <c r="D31">
        <v>5.95</v>
      </c>
      <c r="E31">
        <v>6.2</v>
      </c>
      <c r="F31">
        <v>1518</v>
      </c>
      <c r="G31">
        <v>7958</v>
      </c>
      <c r="H31">
        <v>0.23230748168945309</v>
      </c>
      <c r="I31">
        <v>260</v>
      </c>
      <c r="J31" s="4">
        <v>44295.796631944453</v>
      </c>
      <c r="K31">
        <v>10.5</v>
      </c>
      <c r="L31">
        <v>10.4</v>
      </c>
      <c r="M31">
        <v>10.65</v>
      </c>
      <c r="N31">
        <v>134</v>
      </c>
      <c r="O31">
        <v>462</v>
      </c>
      <c r="P31">
        <v>0.24115749084472651</v>
      </c>
    </row>
    <row r="32" spans="1:16" x14ac:dyDescent="0.2">
      <c r="A32" s="3">
        <v>30</v>
      </c>
      <c r="B32" s="4">
        <v>44295.831759259258</v>
      </c>
      <c r="C32">
        <v>4.2</v>
      </c>
      <c r="D32">
        <v>4.1500000000000004</v>
      </c>
      <c r="E32">
        <v>4.3</v>
      </c>
      <c r="F32">
        <v>1089</v>
      </c>
      <c r="G32">
        <v>10116</v>
      </c>
      <c r="H32">
        <v>0.22882851257324219</v>
      </c>
      <c r="I32">
        <v>265</v>
      </c>
      <c r="J32" s="4">
        <v>44295.816817129627</v>
      </c>
      <c r="K32">
        <v>13.69</v>
      </c>
      <c r="L32">
        <v>13.6</v>
      </c>
      <c r="M32">
        <v>13.85</v>
      </c>
      <c r="N32">
        <v>45</v>
      </c>
      <c r="O32">
        <v>129</v>
      </c>
      <c r="P32">
        <v>0.24146266357421869</v>
      </c>
    </row>
    <row r="33" spans="1:16" x14ac:dyDescent="0.2">
      <c r="A33" s="3">
        <v>31</v>
      </c>
      <c r="B33" s="4">
        <v>44295.831712962958</v>
      </c>
      <c r="C33">
        <v>2.92</v>
      </c>
      <c r="D33">
        <v>2.83</v>
      </c>
      <c r="E33">
        <v>2.98</v>
      </c>
      <c r="F33">
        <v>797</v>
      </c>
      <c r="G33">
        <v>4352</v>
      </c>
      <c r="H33">
        <v>0.22998816894531249</v>
      </c>
      <c r="I33">
        <v>270</v>
      </c>
      <c r="J33" s="4">
        <v>44294.816655092603</v>
      </c>
      <c r="K33">
        <v>17.93</v>
      </c>
      <c r="L33">
        <v>17.2</v>
      </c>
      <c r="M33">
        <v>17.600000000000001</v>
      </c>
      <c r="N33">
        <v>4</v>
      </c>
      <c r="O33">
        <v>125</v>
      </c>
      <c r="P33">
        <v>0.246650599975586</v>
      </c>
    </row>
    <row r="34" spans="1:16" x14ac:dyDescent="0.2">
      <c r="A34" s="3">
        <v>32</v>
      </c>
      <c r="B34" s="4">
        <v>44295.829201388893</v>
      </c>
      <c r="C34">
        <v>1.96</v>
      </c>
      <c r="D34">
        <v>1.85</v>
      </c>
      <c r="E34">
        <v>1.98</v>
      </c>
      <c r="F34">
        <v>800</v>
      </c>
      <c r="G34">
        <v>9315</v>
      </c>
      <c r="H34">
        <v>0.22986609985351561</v>
      </c>
      <c r="I34">
        <v>275</v>
      </c>
      <c r="J34" s="4">
        <v>44295.565266203703</v>
      </c>
      <c r="K34">
        <v>24</v>
      </c>
      <c r="L34">
        <v>21.2</v>
      </c>
      <c r="M34">
        <v>21.9</v>
      </c>
      <c r="N34">
        <v>2</v>
      </c>
      <c r="O34">
        <v>24</v>
      </c>
      <c r="P34">
        <v>0.2612378564453125</v>
      </c>
    </row>
    <row r="35" spans="1:16" x14ac:dyDescent="0.2">
      <c r="A35" s="3">
        <v>33</v>
      </c>
      <c r="B35" s="4">
        <v>44295.831979166673</v>
      </c>
      <c r="C35">
        <v>1.33</v>
      </c>
      <c r="D35">
        <v>1.26</v>
      </c>
      <c r="E35">
        <v>1.35</v>
      </c>
      <c r="F35">
        <v>2871</v>
      </c>
      <c r="G35">
        <v>3002</v>
      </c>
      <c r="H35">
        <v>0.23365024169921869</v>
      </c>
      <c r="I35">
        <v>280</v>
      </c>
      <c r="J35" s="4">
        <v>44295.688078703701</v>
      </c>
      <c r="K35">
        <v>26.9</v>
      </c>
      <c r="L35">
        <v>25.7</v>
      </c>
      <c r="M35">
        <v>26.35</v>
      </c>
      <c r="N35">
        <v>1815</v>
      </c>
      <c r="O35">
        <v>565</v>
      </c>
      <c r="P35">
        <v>0.27454338745117191</v>
      </c>
    </row>
    <row r="36" spans="1:16" x14ac:dyDescent="0.2">
      <c r="A36" s="3">
        <v>34</v>
      </c>
      <c r="B36" s="4">
        <v>44295.832453703697</v>
      </c>
      <c r="C36">
        <v>0.93</v>
      </c>
      <c r="D36">
        <v>0.87</v>
      </c>
      <c r="E36">
        <v>0.98</v>
      </c>
      <c r="F36">
        <v>77</v>
      </c>
      <c r="G36">
        <v>808</v>
      </c>
      <c r="H36">
        <v>0.24207300903320311</v>
      </c>
      <c r="I36">
        <v>285</v>
      </c>
    </row>
    <row r="37" spans="1:16" x14ac:dyDescent="0.2">
      <c r="A37" s="3">
        <v>35</v>
      </c>
      <c r="B37" s="4">
        <v>44295.813101851847</v>
      </c>
      <c r="C37">
        <v>0.61</v>
      </c>
      <c r="D37">
        <v>0.62</v>
      </c>
      <c r="E37">
        <v>0.73</v>
      </c>
      <c r="F37">
        <v>581</v>
      </c>
      <c r="G37">
        <v>2258</v>
      </c>
      <c r="H37">
        <v>0.25147232910156248</v>
      </c>
      <c r="I37">
        <v>290</v>
      </c>
      <c r="J37" s="4">
        <v>44293.584745370368</v>
      </c>
      <c r="K37">
        <v>41.8</v>
      </c>
      <c r="L37">
        <v>34.950000000000003</v>
      </c>
      <c r="M37">
        <v>35.799999999999997</v>
      </c>
      <c r="N37">
        <v>15</v>
      </c>
      <c r="O37">
        <v>43</v>
      </c>
      <c r="P37">
        <v>0.31104204589843742</v>
      </c>
    </row>
    <row r="38" spans="1:16" x14ac:dyDescent="0.2">
      <c r="A38" s="3">
        <v>36</v>
      </c>
      <c r="B38" s="4">
        <v>44295.828020833331</v>
      </c>
      <c r="C38">
        <v>0.48</v>
      </c>
      <c r="D38">
        <v>0.44</v>
      </c>
      <c r="E38">
        <v>0.5</v>
      </c>
      <c r="F38">
        <v>15</v>
      </c>
      <c r="G38">
        <v>357</v>
      </c>
      <c r="H38">
        <v>0.25562267822265627</v>
      </c>
      <c r="I38">
        <v>295</v>
      </c>
      <c r="J38" s="4">
        <v>44271.600324074083</v>
      </c>
      <c r="K38">
        <v>56.84</v>
      </c>
      <c r="L38">
        <v>39.85</v>
      </c>
      <c r="M38">
        <v>40.549999999999997</v>
      </c>
      <c r="N38">
        <v>15</v>
      </c>
      <c r="O38">
        <v>10</v>
      </c>
      <c r="P38">
        <v>0.32507999145507799</v>
      </c>
    </row>
    <row r="39" spans="1:16" x14ac:dyDescent="0.2">
      <c r="A39" s="3">
        <v>37</v>
      </c>
      <c r="B39" s="4">
        <v>44295.829953703702</v>
      </c>
      <c r="C39">
        <v>0.36</v>
      </c>
      <c r="D39">
        <v>0.35</v>
      </c>
      <c r="E39">
        <v>0.4</v>
      </c>
      <c r="F39">
        <v>331</v>
      </c>
      <c r="G39">
        <v>3448</v>
      </c>
      <c r="H39">
        <v>0.26734131103515618</v>
      </c>
      <c r="I39">
        <v>300</v>
      </c>
      <c r="J39" s="4">
        <v>44295.738749999997</v>
      </c>
      <c r="K39">
        <v>46</v>
      </c>
      <c r="L39">
        <v>44.45</v>
      </c>
      <c r="M39">
        <v>45.5</v>
      </c>
      <c r="N39">
        <v>70</v>
      </c>
      <c r="O39">
        <v>2001</v>
      </c>
      <c r="P39">
        <v>0.34888346435546869</v>
      </c>
    </row>
    <row r="40" spans="1:16" x14ac:dyDescent="0.2">
      <c r="A40" s="3">
        <v>38</v>
      </c>
      <c r="B40" s="4">
        <v>44295.816689814812</v>
      </c>
      <c r="C40">
        <v>0.28000000000000003</v>
      </c>
      <c r="D40">
        <v>0.27</v>
      </c>
      <c r="E40">
        <v>0.35</v>
      </c>
      <c r="F40">
        <v>7</v>
      </c>
      <c r="G40">
        <v>236</v>
      </c>
      <c r="H40">
        <v>0.28247787841796868</v>
      </c>
      <c r="I40">
        <v>305</v>
      </c>
      <c r="J40" s="4">
        <v>44284.791678240741</v>
      </c>
      <c r="K40">
        <v>70.849999999999994</v>
      </c>
      <c r="L40">
        <v>49.35</v>
      </c>
      <c r="M40">
        <v>50.5</v>
      </c>
      <c r="N40">
        <v>1</v>
      </c>
      <c r="O40">
        <v>9</v>
      </c>
      <c r="P40">
        <v>0.37488418090820308</v>
      </c>
    </row>
    <row r="41" spans="1:16" x14ac:dyDescent="0.2">
      <c r="A41" s="3">
        <v>39</v>
      </c>
      <c r="B41" s="4">
        <v>44295.693472222221</v>
      </c>
      <c r="C41">
        <v>0.23</v>
      </c>
      <c r="D41">
        <v>0.23</v>
      </c>
      <c r="E41">
        <v>0.28000000000000003</v>
      </c>
      <c r="F41">
        <v>2</v>
      </c>
      <c r="G41">
        <v>288</v>
      </c>
      <c r="H41">
        <v>0.29224340576171859</v>
      </c>
      <c r="I41">
        <v>310</v>
      </c>
      <c r="J41" s="4">
        <v>44284.800034722219</v>
      </c>
      <c r="K41">
        <v>75.7</v>
      </c>
      <c r="L41">
        <v>54.1</v>
      </c>
      <c r="M41">
        <v>55.45</v>
      </c>
      <c r="N41">
        <v>6</v>
      </c>
      <c r="O41">
        <v>7</v>
      </c>
      <c r="P41">
        <v>0.39636834106445318</v>
      </c>
    </row>
    <row r="42" spans="1:16" x14ac:dyDescent="0.2">
      <c r="A42" s="3">
        <v>40</v>
      </c>
      <c r="B42" s="4">
        <v>44294.805972222217</v>
      </c>
      <c r="C42">
        <v>0.19</v>
      </c>
      <c r="D42">
        <v>0.18</v>
      </c>
      <c r="E42">
        <v>0.22</v>
      </c>
      <c r="F42">
        <v>1</v>
      </c>
      <c r="G42">
        <v>129</v>
      </c>
      <c r="H42">
        <v>0.30029996582031249</v>
      </c>
      <c r="I42">
        <v>315</v>
      </c>
      <c r="J42" s="4">
        <v>44284.824305555558</v>
      </c>
      <c r="K42">
        <v>80.349999999999994</v>
      </c>
      <c r="L42">
        <v>59.05</v>
      </c>
      <c r="M42">
        <v>60.45</v>
      </c>
      <c r="O42">
        <v>17</v>
      </c>
      <c r="P42">
        <v>0.42053802124023443</v>
      </c>
    </row>
    <row r="43" spans="1:16" x14ac:dyDescent="0.2">
      <c r="A43" s="3">
        <v>41</v>
      </c>
      <c r="B43" s="4">
        <v>44294.713692129633</v>
      </c>
      <c r="C43">
        <v>0.16</v>
      </c>
      <c r="D43">
        <v>0.15</v>
      </c>
      <c r="E43">
        <v>0.21</v>
      </c>
      <c r="F43">
        <v>354</v>
      </c>
      <c r="G43">
        <v>516</v>
      </c>
      <c r="H43">
        <v>0.31690136230468752</v>
      </c>
      <c r="I43">
        <v>320</v>
      </c>
      <c r="J43" s="4">
        <v>44284.764074074083</v>
      </c>
      <c r="K43">
        <v>85.55</v>
      </c>
      <c r="L43">
        <v>64.05</v>
      </c>
      <c r="M43">
        <v>65.400000000000006</v>
      </c>
      <c r="O43">
        <v>12</v>
      </c>
      <c r="P43">
        <v>0.44019114501953122</v>
      </c>
    </row>
    <row r="44" spans="1:16" x14ac:dyDescent="0.2">
      <c r="A44" s="3">
        <v>42</v>
      </c>
      <c r="B44" s="4">
        <v>44295.66375</v>
      </c>
      <c r="C44">
        <v>0.14000000000000001</v>
      </c>
      <c r="D44">
        <v>0.13</v>
      </c>
      <c r="E44">
        <v>0.16</v>
      </c>
      <c r="F44">
        <v>154</v>
      </c>
      <c r="G44">
        <v>156</v>
      </c>
      <c r="H44">
        <v>0.32227240234374988</v>
      </c>
      <c r="I44">
        <v>325</v>
      </c>
      <c r="J44" s="4">
        <v>44284.800034722219</v>
      </c>
      <c r="K44">
        <v>90.65</v>
      </c>
      <c r="L44">
        <v>69.2</v>
      </c>
      <c r="M44">
        <v>70.400000000000006</v>
      </c>
      <c r="O44">
        <v>2</v>
      </c>
      <c r="P44">
        <v>0.46289599609374998</v>
      </c>
    </row>
    <row r="45" spans="1:16" x14ac:dyDescent="0.2">
      <c r="A45" s="3">
        <v>43</v>
      </c>
      <c r="B45" s="4">
        <v>44295.662523148138</v>
      </c>
      <c r="C45">
        <v>0.12</v>
      </c>
      <c r="D45">
        <v>0.11</v>
      </c>
      <c r="E45">
        <v>0.14000000000000001</v>
      </c>
      <c r="F45">
        <v>192</v>
      </c>
      <c r="G45">
        <v>202</v>
      </c>
      <c r="H45">
        <v>0.33399103515625</v>
      </c>
      <c r="I45">
        <v>330</v>
      </c>
      <c r="J45" s="4">
        <v>44287.823460648149</v>
      </c>
      <c r="K45">
        <v>80.95</v>
      </c>
      <c r="L45">
        <v>74.3</v>
      </c>
      <c r="M45">
        <v>75.349999999999994</v>
      </c>
      <c r="N45">
        <v>4</v>
      </c>
      <c r="O45">
        <v>27</v>
      </c>
      <c r="P45">
        <v>0.48071808349609368</v>
      </c>
    </row>
    <row r="46" spans="1:16" x14ac:dyDescent="0.2">
      <c r="A46" s="3">
        <v>44</v>
      </c>
      <c r="B46" s="4">
        <v>44295.815127314818</v>
      </c>
      <c r="C46">
        <v>0.11</v>
      </c>
      <c r="D46">
        <v>0.09</v>
      </c>
      <c r="E46">
        <v>0.12</v>
      </c>
      <c r="F46">
        <v>363</v>
      </c>
      <c r="G46">
        <v>220</v>
      </c>
      <c r="H46">
        <v>0.34375656249999997</v>
      </c>
      <c r="I46">
        <v>335</v>
      </c>
    </row>
    <row r="47" spans="1:16" x14ac:dyDescent="0.2">
      <c r="A47" s="3">
        <v>45</v>
      </c>
      <c r="B47" s="4">
        <v>44295.603449074071</v>
      </c>
      <c r="C47">
        <v>0.09</v>
      </c>
      <c r="D47">
        <v>0.09</v>
      </c>
      <c r="E47">
        <v>0.11</v>
      </c>
      <c r="F47">
        <v>45</v>
      </c>
      <c r="G47">
        <v>489</v>
      </c>
      <c r="H47">
        <v>0.35547519531249988</v>
      </c>
      <c r="I47">
        <v>340</v>
      </c>
      <c r="J47" s="4">
        <v>44287.64634259259</v>
      </c>
      <c r="K47">
        <v>98.65</v>
      </c>
      <c r="L47">
        <v>83.95</v>
      </c>
      <c r="M47">
        <v>85.3</v>
      </c>
      <c r="N47">
        <v>8</v>
      </c>
      <c r="O47">
        <v>16</v>
      </c>
      <c r="P47">
        <v>0.51831536376953125</v>
      </c>
    </row>
    <row r="48" spans="1:16" x14ac:dyDescent="0.2">
      <c r="A48" s="3">
        <v>46</v>
      </c>
      <c r="B48" s="4">
        <v>44295.698148148149</v>
      </c>
      <c r="C48">
        <v>0.08</v>
      </c>
      <c r="D48">
        <v>7.0000000000000007E-2</v>
      </c>
      <c r="E48">
        <v>0.13</v>
      </c>
      <c r="F48">
        <v>68</v>
      </c>
      <c r="G48">
        <v>179</v>
      </c>
      <c r="H48">
        <v>0.37891246093749997</v>
      </c>
      <c r="I48">
        <v>345</v>
      </c>
      <c r="J48" s="4">
        <v>44287.752858796302</v>
      </c>
      <c r="K48">
        <v>103.4</v>
      </c>
      <c r="L48">
        <v>88.95</v>
      </c>
      <c r="M48">
        <v>90.3</v>
      </c>
      <c r="N48">
        <v>15</v>
      </c>
      <c r="O48">
        <v>33</v>
      </c>
      <c r="P48">
        <v>0.53857883300781262</v>
      </c>
    </row>
    <row r="49" spans="1:16" x14ac:dyDescent="0.2">
      <c r="A49" s="3">
        <v>47</v>
      </c>
      <c r="B49" s="4">
        <v>44295.764814814807</v>
      </c>
      <c r="C49">
        <v>7.0000000000000007E-2</v>
      </c>
      <c r="D49">
        <v>0.02</v>
      </c>
      <c r="E49">
        <v>0.14000000000000001</v>
      </c>
      <c r="F49">
        <v>214</v>
      </c>
      <c r="G49">
        <v>296</v>
      </c>
      <c r="H49">
        <v>0.39844351562500002</v>
      </c>
      <c r="I49">
        <v>350</v>
      </c>
      <c r="J49" s="4">
        <v>44292.678587962961</v>
      </c>
      <c r="K49">
        <v>101.25</v>
      </c>
      <c r="L49">
        <v>93.9</v>
      </c>
      <c r="M49">
        <v>95.3</v>
      </c>
      <c r="N49">
        <v>15</v>
      </c>
      <c r="O49">
        <v>36</v>
      </c>
      <c r="P49">
        <v>0.55835402587890637</v>
      </c>
    </row>
    <row r="50" spans="1:16" x14ac:dyDescent="0.2">
      <c r="A50" s="3">
        <v>48</v>
      </c>
      <c r="B50" s="4">
        <v>44294.778703703712</v>
      </c>
      <c r="C50">
        <v>7.0000000000000007E-2</v>
      </c>
      <c r="D50">
        <v>0</v>
      </c>
      <c r="E50">
        <v>0</v>
      </c>
      <c r="F50">
        <v>78</v>
      </c>
      <c r="G50">
        <v>0</v>
      </c>
      <c r="H50">
        <v>0.25000749999999999</v>
      </c>
      <c r="I50">
        <v>355</v>
      </c>
      <c r="J50" s="4">
        <v>44294.610891203702</v>
      </c>
      <c r="K50">
        <v>101.9</v>
      </c>
      <c r="L50">
        <v>0</v>
      </c>
      <c r="M50">
        <v>0</v>
      </c>
      <c r="N50">
        <v>7</v>
      </c>
      <c r="O50">
        <v>0</v>
      </c>
      <c r="P50">
        <v>1.0000000000000001E-5</v>
      </c>
    </row>
    <row r="51" spans="1:16" x14ac:dyDescent="0.2">
      <c r="A51" s="3">
        <v>49</v>
      </c>
      <c r="B51" s="4">
        <v>44295.832291666673</v>
      </c>
      <c r="C51">
        <v>0.05</v>
      </c>
      <c r="D51">
        <v>0.04</v>
      </c>
      <c r="E51">
        <v>0.06</v>
      </c>
      <c r="F51">
        <v>52</v>
      </c>
      <c r="G51">
        <v>1125</v>
      </c>
      <c r="H51">
        <v>0.38867798828125</v>
      </c>
      <c r="I51">
        <v>360</v>
      </c>
      <c r="J51" s="4">
        <v>44293.584745370368</v>
      </c>
      <c r="K51">
        <v>111.4</v>
      </c>
      <c r="L51">
        <v>104.15</v>
      </c>
      <c r="M51">
        <v>105.25</v>
      </c>
      <c r="N51">
        <v>15</v>
      </c>
      <c r="O51">
        <v>93</v>
      </c>
      <c r="P51">
        <v>0.52270985107421875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A1:P20"/>
  <sheetViews>
    <sheetView workbookViewId="0">
      <selection activeCell="Q16" sqref="Q16"/>
    </sheetView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44294.758101851847</v>
      </c>
      <c r="C2">
        <v>34.700000000000003</v>
      </c>
      <c r="D2">
        <v>0</v>
      </c>
      <c r="E2">
        <v>35.4</v>
      </c>
      <c r="F2">
        <v>3</v>
      </c>
      <c r="H2">
        <v>1.0000000000000001E-5</v>
      </c>
      <c r="I2">
        <v>220</v>
      </c>
      <c r="J2" s="4">
        <v>44294.801828703698</v>
      </c>
      <c r="K2">
        <v>1.35</v>
      </c>
      <c r="L2">
        <v>0</v>
      </c>
      <c r="M2">
        <v>0</v>
      </c>
      <c r="N2">
        <v>17</v>
      </c>
      <c r="P2">
        <v>6.2509375000000006E-2</v>
      </c>
    </row>
    <row r="3" spans="1:16" x14ac:dyDescent="0.2">
      <c r="A3" s="3">
        <v>1</v>
      </c>
      <c r="B3" s="4">
        <v>44294.605300925927</v>
      </c>
      <c r="C3">
        <v>29.9</v>
      </c>
      <c r="D3">
        <v>0</v>
      </c>
      <c r="E3">
        <v>0</v>
      </c>
      <c r="F3">
        <v>3</v>
      </c>
      <c r="H3">
        <v>1.0000000000000001E-5</v>
      </c>
      <c r="I3">
        <v>225</v>
      </c>
      <c r="J3" s="4">
        <v>44294.813530092593</v>
      </c>
      <c r="K3">
        <v>1.8</v>
      </c>
      <c r="L3">
        <v>0</v>
      </c>
      <c r="M3">
        <v>0</v>
      </c>
      <c r="N3">
        <v>10</v>
      </c>
      <c r="P3">
        <v>6.2509375000000006E-2</v>
      </c>
    </row>
    <row r="4" spans="1:16" x14ac:dyDescent="0.2">
      <c r="A4" s="3">
        <v>2</v>
      </c>
      <c r="B4" s="4">
        <v>44294.715543981481</v>
      </c>
      <c r="C4">
        <v>20.57</v>
      </c>
      <c r="D4">
        <v>0</v>
      </c>
      <c r="E4">
        <v>0</v>
      </c>
      <c r="F4">
        <v>4</v>
      </c>
      <c r="H4">
        <v>1.0000000000000001E-5</v>
      </c>
      <c r="I4">
        <v>235</v>
      </c>
      <c r="J4" s="4">
        <v>44294.80809027778</v>
      </c>
      <c r="K4">
        <v>3.16</v>
      </c>
      <c r="L4">
        <v>0</v>
      </c>
      <c r="M4">
        <v>0</v>
      </c>
      <c r="N4">
        <v>9</v>
      </c>
      <c r="P4">
        <v>6.2509375000000006E-2</v>
      </c>
    </row>
    <row r="5" spans="1:16" x14ac:dyDescent="0.2">
      <c r="A5" s="3">
        <v>3</v>
      </c>
      <c r="B5" s="4">
        <v>44294.569699074083</v>
      </c>
      <c r="C5">
        <v>19.100000000000001</v>
      </c>
      <c r="D5">
        <v>0</v>
      </c>
      <c r="E5">
        <v>0</v>
      </c>
      <c r="F5">
        <v>1</v>
      </c>
      <c r="H5">
        <v>1.0000000000000001E-5</v>
      </c>
      <c r="I5">
        <v>237.5</v>
      </c>
      <c r="J5" s="4">
        <v>44294.627488425933</v>
      </c>
      <c r="K5">
        <v>3.75</v>
      </c>
      <c r="L5">
        <v>0</v>
      </c>
      <c r="M5">
        <v>0</v>
      </c>
      <c r="N5">
        <v>4</v>
      </c>
      <c r="P5">
        <v>6.2509375000000006E-2</v>
      </c>
    </row>
    <row r="6" spans="1:16" x14ac:dyDescent="0.2">
      <c r="A6" s="3">
        <v>4</v>
      </c>
      <c r="B6" s="4">
        <v>44295.562534722223</v>
      </c>
      <c r="C6">
        <v>16.05</v>
      </c>
      <c r="D6">
        <v>0</v>
      </c>
      <c r="E6">
        <v>0</v>
      </c>
      <c r="F6">
        <v>1</v>
      </c>
      <c r="H6">
        <v>1.0000000000000001E-5</v>
      </c>
      <c r="I6">
        <v>240</v>
      </c>
      <c r="J6" s="4">
        <v>44294.74900462963</v>
      </c>
      <c r="K6">
        <v>4.07</v>
      </c>
      <c r="L6">
        <v>0</v>
      </c>
      <c r="M6">
        <v>0</v>
      </c>
      <c r="N6">
        <v>5</v>
      </c>
      <c r="P6">
        <v>3.1259687500000001E-2</v>
      </c>
    </row>
    <row r="7" spans="1:16" x14ac:dyDescent="0.2">
      <c r="A7" s="3">
        <v>5</v>
      </c>
      <c r="B7" s="4">
        <v>44294.731886574067</v>
      </c>
      <c r="C7">
        <v>15.07</v>
      </c>
      <c r="D7">
        <v>14.3</v>
      </c>
      <c r="E7">
        <v>15.8</v>
      </c>
      <c r="F7">
        <v>1</v>
      </c>
      <c r="H7">
        <v>0.19910468872070311</v>
      </c>
      <c r="I7">
        <v>242.5</v>
      </c>
      <c r="J7" s="4">
        <v>44294.749259259261</v>
      </c>
      <c r="K7">
        <v>4.8600000000000003</v>
      </c>
      <c r="L7">
        <v>0</v>
      </c>
      <c r="M7">
        <v>0</v>
      </c>
      <c r="N7">
        <v>1</v>
      </c>
      <c r="P7">
        <v>3.1259687500000001E-2</v>
      </c>
    </row>
    <row r="8" spans="1:16" x14ac:dyDescent="0.2">
      <c r="A8" s="3">
        <v>6</v>
      </c>
      <c r="B8" s="4">
        <v>44294.72625</v>
      </c>
      <c r="C8">
        <v>13.12</v>
      </c>
      <c r="D8">
        <v>0</v>
      </c>
      <c r="E8">
        <v>0</v>
      </c>
      <c r="F8">
        <v>54</v>
      </c>
      <c r="H8">
        <v>1.0000000000000001E-5</v>
      </c>
      <c r="I8">
        <v>245</v>
      </c>
      <c r="J8" s="4">
        <v>44294.795011574082</v>
      </c>
      <c r="K8">
        <v>5.65</v>
      </c>
      <c r="L8">
        <v>0</v>
      </c>
      <c r="M8">
        <v>0</v>
      </c>
      <c r="N8">
        <v>1</v>
      </c>
      <c r="P8">
        <v>3.1259687500000001E-2</v>
      </c>
    </row>
    <row r="9" spans="1:16" x14ac:dyDescent="0.2">
      <c r="A9" s="3">
        <v>7</v>
      </c>
      <c r="B9" s="4">
        <v>44294.570162037038</v>
      </c>
      <c r="C9">
        <v>12.07</v>
      </c>
      <c r="D9">
        <v>0</v>
      </c>
      <c r="E9">
        <v>0</v>
      </c>
      <c r="F9">
        <v>2</v>
      </c>
      <c r="H9">
        <v>1.0000000000000001E-5</v>
      </c>
      <c r="I9">
        <v>247.5</v>
      </c>
      <c r="J9" s="4">
        <v>44294.747256944444</v>
      </c>
      <c r="K9">
        <v>6.56</v>
      </c>
      <c r="L9">
        <v>0</v>
      </c>
      <c r="M9">
        <v>0</v>
      </c>
      <c r="N9">
        <v>4</v>
      </c>
      <c r="P9">
        <v>1.5634843749999999E-2</v>
      </c>
    </row>
    <row r="10" spans="1:16" x14ac:dyDescent="0.2">
      <c r="A10" s="3">
        <v>8</v>
      </c>
      <c r="B10" s="4">
        <v>44294.807766203703</v>
      </c>
      <c r="C10">
        <v>10.44</v>
      </c>
      <c r="D10">
        <v>0</v>
      </c>
      <c r="E10">
        <v>0</v>
      </c>
      <c r="F10">
        <v>18</v>
      </c>
      <c r="H10">
        <v>1.0000000000000001E-5</v>
      </c>
      <c r="I10">
        <v>250</v>
      </c>
      <c r="J10" s="4">
        <v>44294.732893518521</v>
      </c>
      <c r="K10">
        <v>7.6</v>
      </c>
      <c r="L10">
        <v>0</v>
      </c>
      <c r="M10">
        <v>0</v>
      </c>
      <c r="N10">
        <v>6</v>
      </c>
      <c r="P10">
        <v>1.5634843749999999E-2</v>
      </c>
    </row>
    <row r="11" spans="1:16" x14ac:dyDescent="0.2">
      <c r="A11" s="3">
        <v>9</v>
      </c>
      <c r="B11" s="4">
        <v>44294.807766203703</v>
      </c>
      <c r="C11">
        <v>9.0399999999999991</v>
      </c>
      <c r="D11">
        <v>0</v>
      </c>
      <c r="E11">
        <v>0</v>
      </c>
      <c r="F11">
        <v>40</v>
      </c>
      <c r="H11">
        <v>1.0000000000000001E-5</v>
      </c>
      <c r="I11">
        <v>252.5</v>
      </c>
      <c r="J11" s="4">
        <v>44294.831307870372</v>
      </c>
      <c r="K11">
        <v>8.67</v>
      </c>
      <c r="L11">
        <v>0</v>
      </c>
      <c r="M11">
        <v>0</v>
      </c>
      <c r="N11">
        <v>2</v>
      </c>
      <c r="P11">
        <v>7.8224218750000008E-3</v>
      </c>
    </row>
    <row r="12" spans="1:16" x14ac:dyDescent="0.2">
      <c r="A12" s="3">
        <v>10</v>
      </c>
      <c r="B12" s="4">
        <v>44294.778541666667</v>
      </c>
      <c r="C12">
        <v>7.7</v>
      </c>
      <c r="D12">
        <v>0</v>
      </c>
      <c r="E12">
        <v>0</v>
      </c>
      <c r="F12">
        <v>10</v>
      </c>
      <c r="H12">
        <v>1.0000000000000001E-5</v>
      </c>
      <c r="I12">
        <v>255</v>
      </c>
      <c r="J12" s="4">
        <v>44294.831307870372</v>
      </c>
      <c r="K12">
        <v>9.94</v>
      </c>
      <c r="L12">
        <v>0</v>
      </c>
      <c r="M12">
        <v>0</v>
      </c>
      <c r="N12">
        <v>3</v>
      </c>
      <c r="P12">
        <v>1.9631054687499999E-3</v>
      </c>
    </row>
    <row r="13" spans="1:16" x14ac:dyDescent="0.2">
      <c r="A13" s="3">
        <v>11</v>
      </c>
      <c r="B13" s="4">
        <v>44294.824548611112</v>
      </c>
      <c r="C13">
        <v>6.57</v>
      </c>
      <c r="D13">
        <v>0</v>
      </c>
      <c r="E13">
        <v>0</v>
      </c>
      <c r="F13">
        <v>3</v>
      </c>
      <c r="H13">
        <v>3.9162109375000002E-3</v>
      </c>
      <c r="I13">
        <v>257.5</v>
      </c>
    </row>
    <row r="14" spans="1:16" x14ac:dyDescent="0.2">
      <c r="A14" s="3">
        <v>12</v>
      </c>
      <c r="B14" s="4">
        <v>44294.827372685177</v>
      </c>
      <c r="C14">
        <v>5.7</v>
      </c>
      <c r="D14">
        <v>0</v>
      </c>
      <c r="E14">
        <v>0</v>
      </c>
      <c r="F14">
        <v>50</v>
      </c>
      <c r="H14">
        <v>7.8224218750000008E-3</v>
      </c>
      <c r="I14">
        <v>260</v>
      </c>
    </row>
    <row r="15" spans="1:16" x14ac:dyDescent="0.2">
      <c r="A15" s="3">
        <v>13</v>
      </c>
      <c r="B15" s="4">
        <v>44294.59</v>
      </c>
      <c r="C15">
        <v>4.8899999999999997</v>
      </c>
      <c r="D15">
        <v>0</v>
      </c>
      <c r="E15">
        <v>0</v>
      </c>
      <c r="F15">
        <v>2</v>
      </c>
      <c r="H15">
        <v>1.5634843749999999E-2</v>
      </c>
      <c r="I15">
        <v>262.5</v>
      </c>
    </row>
    <row r="16" spans="1:16" x14ac:dyDescent="0.2">
      <c r="A16" s="3">
        <v>14</v>
      </c>
      <c r="B16" s="4">
        <v>44294.819212962961</v>
      </c>
      <c r="C16">
        <v>3.95</v>
      </c>
      <c r="D16">
        <v>0</v>
      </c>
      <c r="E16">
        <v>0</v>
      </c>
      <c r="F16">
        <v>17</v>
      </c>
      <c r="H16">
        <v>3.1259687500000001E-2</v>
      </c>
      <c r="I16">
        <v>265</v>
      </c>
    </row>
    <row r="17" spans="1:16" x14ac:dyDescent="0.2">
      <c r="A17" s="3">
        <v>15</v>
      </c>
      <c r="B17" s="4">
        <v>44294.614988425928</v>
      </c>
      <c r="C17">
        <v>2.5</v>
      </c>
      <c r="D17">
        <v>0</v>
      </c>
      <c r="E17">
        <v>0</v>
      </c>
      <c r="F17">
        <v>1</v>
      </c>
      <c r="H17">
        <v>3.1259687500000001E-2</v>
      </c>
      <c r="I17">
        <v>272.5</v>
      </c>
    </row>
    <row r="18" spans="1:16" x14ac:dyDescent="0.2">
      <c r="A18" s="3">
        <v>16</v>
      </c>
      <c r="B18" s="4">
        <v>44294.57744212963</v>
      </c>
      <c r="C18">
        <v>1.98</v>
      </c>
      <c r="D18">
        <v>0</v>
      </c>
      <c r="E18">
        <v>0</v>
      </c>
      <c r="F18">
        <v>47</v>
      </c>
      <c r="H18">
        <v>3.1259687500000001E-2</v>
      </c>
      <c r="I18">
        <v>275</v>
      </c>
    </row>
    <row r="19" spans="1:16" x14ac:dyDescent="0.2">
      <c r="A19" s="3">
        <v>17</v>
      </c>
      <c r="B19" s="4">
        <v>44294.792291666658</v>
      </c>
      <c r="C19">
        <v>1.31</v>
      </c>
      <c r="D19">
        <v>0</v>
      </c>
      <c r="E19">
        <v>0</v>
      </c>
      <c r="F19">
        <v>6</v>
      </c>
      <c r="H19">
        <v>6.2509375000000006E-2</v>
      </c>
      <c r="I19">
        <v>280</v>
      </c>
      <c r="J19" s="4">
        <v>44294.583391203712</v>
      </c>
      <c r="K19">
        <v>28</v>
      </c>
      <c r="L19">
        <v>0</v>
      </c>
      <c r="M19">
        <v>0</v>
      </c>
      <c r="N19">
        <v>2</v>
      </c>
      <c r="P19">
        <v>1.0000000000000001E-5</v>
      </c>
    </row>
    <row r="20" spans="1:16" x14ac:dyDescent="0.2">
      <c r="A20" s="3">
        <v>18</v>
      </c>
      <c r="B20" s="4">
        <v>44294.607835648138</v>
      </c>
      <c r="C20">
        <v>0.89</v>
      </c>
      <c r="D20">
        <v>0</v>
      </c>
      <c r="E20">
        <v>0</v>
      </c>
      <c r="F20">
        <v>10</v>
      </c>
      <c r="H20">
        <v>6.2509375000000006E-2</v>
      </c>
      <c r="I20">
        <v>285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"/>
  <dimension ref="A1:P63"/>
  <sheetViews>
    <sheetView workbookViewId="0"/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44295.757743055547</v>
      </c>
      <c r="C2">
        <v>189.6</v>
      </c>
      <c r="D2">
        <v>190.25</v>
      </c>
      <c r="E2">
        <v>191.45</v>
      </c>
      <c r="F2">
        <v>107</v>
      </c>
      <c r="G2">
        <v>240</v>
      </c>
      <c r="H2">
        <v>1.521486767578125</v>
      </c>
      <c r="I2">
        <v>65</v>
      </c>
      <c r="J2" s="4">
        <v>44287.797476851847</v>
      </c>
      <c r="K2">
        <v>0.02</v>
      </c>
      <c r="L2">
        <v>0</v>
      </c>
      <c r="M2">
        <v>0.01</v>
      </c>
      <c r="N2">
        <v>113</v>
      </c>
      <c r="O2">
        <v>2439</v>
      </c>
      <c r="P2">
        <v>0.93750062499999998</v>
      </c>
    </row>
    <row r="3" spans="1:16" x14ac:dyDescent="0.2">
      <c r="A3" s="3">
        <v>1</v>
      </c>
      <c r="B3" s="4">
        <v>44295.780543981477</v>
      </c>
      <c r="C3">
        <v>184.2</v>
      </c>
      <c r="D3">
        <v>185.3</v>
      </c>
      <c r="E3">
        <v>186.25</v>
      </c>
      <c r="F3">
        <v>83</v>
      </c>
      <c r="G3">
        <v>185</v>
      </c>
      <c r="H3">
        <v>1.3584016455078121</v>
      </c>
      <c r="I3">
        <v>70</v>
      </c>
      <c r="J3" s="4">
        <v>44284.608113425929</v>
      </c>
      <c r="K3">
        <v>0.04</v>
      </c>
      <c r="L3">
        <v>0</v>
      </c>
      <c r="M3">
        <v>0.01</v>
      </c>
      <c r="N3">
        <v>1</v>
      </c>
      <c r="O3">
        <v>9594</v>
      </c>
      <c r="P3">
        <v>0.87500124999999995</v>
      </c>
    </row>
    <row r="4" spans="1:16" x14ac:dyDescent="0.2">
      <c r="A4" s="3">
        <v>2</v>
      </c>
      <c r="B4" s="4">
        <v>44293.727418981478</v>
      </c>
      <c r="C4">
        <v>174.55</v>
      </c>
      <c r="D4">
        <v>180.2</v>
      </c>
      <c r="E4">
        <v>181.6</v>
      </c>
      <c r="F4">
        <v>4</v>
      </c>
      <c r="G4">
        <v>8</v>
      </c>
      <c r="H4">
        <v>1.0078174609374999</v>
      </c>
      <c r="I4">
        <v>75</v>
      </c>
      <c r="J4" s="4">
        <v>44284.607951388891</v>
      </c>
      <c r="K4">
        <v>0.03</v>
      </c>
      <c r="L4">
        <v>0.01</v>
      </c>
      <c r="M4">
        <v>0.05</v>
      </c>
      <c r="N4">
        <v>56</v>
      </c>
      <c r="O4">
        <v>640</v>
      </c>
      <c r="P4">
        <v>0.9609378906249999</v>
      </c>
    </row>
    <row r="5" spans="1:16" x14ac:dyDescent="0.2">
      <c r="A5" s="3">
        <v>3</v>
      </c>
      <c r="B5" s="4">
        <v>44284.598622685182</v>
      </c>
      <c r="C5">
        <v>152.94999999999999</v>
      </c>
      <c r="D5">
        <v>175.2</v>
      </c>
      <c r="E5">
        <v>176.6</v>
      </c>
      <c r="F5">
        <v>6</v>
      </c>
      <c r="G5">
        <v>52</v>
      </c>
      <c r="H5">
        <v>0.95703167968749991</v>
      </c>
      <c r="I5">
        <v>80</v>
      </c>
      <c r="J5" s="4">
        <v>44284.607025462959</v>
      </c>
      <c r="K5">
        <v>0.04</v>
      </c>
      <c r="L5">
        <v>0.01</v>
      </c>
      <c r="M5">
        <v>0.03</v>
      </c>
      <c r="N5">
        <v>50</v>
      </c>
      <c r="O5">
        <v>870</v>
      </c>
      <c r="P5">
        <v>0.88281367187499993</v>
      </c>
    </row>
    <row r="6" spans="1:16" x14ac:dyDescent="0.2">
      <c r="A6" s="3">
        <v>4</v>
      </c>
      <c r="B6" s="4">
        <v>44257.6875462963</v>
      </c>
      <c r="C6">
        <v>149.47</v>
      </c>
      <c r="D6">
        <v>156.30000000000001</v>
      </c>
      <c r="E6">
        <v>156.69999999999999</v>
      </c>
      <c r="F6">
        <v>2</v>
      </c>
      <c r="G6">
        <v>8</v>
      </c>
      <c r="H6">
        <v>1.0000000000000001E-5</v>
      </c>
      <c r="I6">
        <v>85</v>
      </c>
      <c r="J6" s="4">
        <v>44295.668217592603</v>
      </c>
      <c r="K6">
        <v>0.04</v>
      </c>
      <c r="L6">
        <v>0</v>
      </c>
      <c r="M6">
        <v>0.06</v>
      </c>
      <c r="N6">
        <v>11</v>
      </c>
      <c r="O6">
        <v>129</v>
      </c>
      <c r="P6">
        <v>0.86718882812499998</v>
      </c>
    </row>
    <row r="7" spans="1:16" x14ac:dyDescent="0.2">
      <c r="A7" s="3">
        <v>5</v>
      </c>
      <c r="B7" s="4">
        <v>44244.619641203702</v>
      </c>
      <c r="C7">
        <v>152.69999999999999</v>
      </c>
      <c r="D7">
        <v>141</v>
      </c>
      <c r="E7">
        <v>142.1</v>
      </c>
      <c r="F7">
        <v>8</v>
      </c>
      <c r="G7">
        <v>82</v>
      </c>
      <c r="H7">
        <v>1.0000000000000001E-5</v>
      </c>
      <c r="I7">
        <v>90</v>
      </c>
      <c r="J7" s="4">
        <v>44286.808217592603</v>
      </c>
      <c r="K7">
        <v>0.04</v>
      </c>
      <c r="L7">
        <v>0.01</v>
      </c>
      <c r="M7">
        <v>7.0000000000000007E-2</v>
      </c>
      <c r="N7">
        <v>1</v>
      </c>
      <c r="O7">
        <v>1066</v>
      </c>
      <c r="P7">
        <v>0.84765777343749993</v>
      </c>
    </row>
    <row r="8" spans="1:16" x14ac:dyDescent="0.2">
      <c r="A8" s="3">
        <v>6</v>
      </c>
      <c r="B8" s="4">
        <v>44279.817777777767</v>
      </c>
      <c r="C8">
        <v>141</v>
      </c>
      <c r="D8">
        <v>160.19999999999999</v>
      </c>
      <c r="E8">
        <v>161.55000000000001</v>
      </c>
      <c r="F8">
        <v>5</v>
      </c>
      <c r="G8">
        <v>6</v>
      </c>
      <c r="H8">
        <v>0.76562734375000008</v>
      </c>
      <c r="I8">
        <v>95</v>
      </c>
      <c r="J8" s="4">
        <v>44293.573912037027</v>
      </c>
      <c r="K8">
        <v>0.04</v>
      </c>
      <c r="L8">
        <v>0</v>
      </c>
      <c r="M8">
        <v>0.08</v>
      </c>
      <c r="N8">
        <v>6</v>
      </c>
      <c r="O8">
        <v>702</v>
      </c>
      <c r="P8">
        <v>0.80468945312499995</v>
      </c>
    </row>
    <row r="9" spans="1:16" x14ac:dyDescent="0.2">
      <c r="A9" s="3">
        <v>7</v>
      </c>
      <c r="B9" s="4">
        <v>44286.714583333327</v>
      </c>
      <c r="C9">
        <v>136.43</v>
      </c>
      <c r="D9">
        <v>155.25</v>
      </c>
      <c r="E9">
        <v>156.65</v>
      </c>
      <c r="F9">
        <v>1</v>
      </c>
      <c r="G9">
        <v>205</v>
      </c>
      <c r="H9">
        <v>0.83984535156249995</v>
      </c>
      <c r="I9">
        <v>100</v>
      </c>
      <c r="J9" s="4">
        <v>44295.747025462973</v>
      </c>
      <c r="K9">
        <v>0.06</v>
      </c>
      <c r="L9">
        <v>0</v>
      </c>
      <c r="M9">
        <v>7.0000000000000007E-2</v>
      </c>
      <c r="N9">
        <v>62</v>
      </c>
      <c r="O9">
        <v>4367</v>
      </c>
      <c r="P9">
        <v>0.7578149218750001</v>
      </c>
    </row>
    <row r="10" spans="1:16" x14ac:dyDescent="0.2">
      <c r="A10" s="3">
        <v>8</v>
      </c>
      <c r="B10" s="4">
        <v>44280.574317129627</v>
      </c>
      <c r="C10">
        <v>148.44999999999999</v>
      </c>
      <c r="D10">
        <v>150.25</v>
      </c>
      <c r="E10">
        <v>151.65</v>
      </c>
      <c r="F10">
        <v>1</v>
      </c>
      <c r="G10">
        <v>43</v>
      </c>
      <c r="H10">
        <v>0.79883013671875003</v>
      </c>
      <c r="I10">
        <v>105</v>
      </c>
      <c r="J10" s="4">
        <v>44293.79351851852</v>
      </c>
      <c r="K10">
        <v>0.06</v>
      </c>
      <c r="L10">
        <v>0.01</v>
      </c>
      <c r="M10">
        <v>0.11</v>
      </c>
      <c r="N10">
        <v>13</v>
      </c>
      <c r="O10">
        <v>2413</v>
      </c>
      <c r="P10">
        <v>0.7578149218750001</v>
      </c>
    </row>
    <row r="11" spans="1:16" x14ac:dyDescent="0.2">
      <c r="A11" s="3">
        <v>9</v>
      </c>
      <c r="B11" s="4">
        <v>44291.6950462963</v>
      </c>
      <c r="C11">
        <v>139.5</v>
      </c>
      <c r="D11">
        <v>145.25</v>
      </c>
      <c r="E11">
        <v>146.65</v>
      </c>
      <c r="F11">
        <v>5</v>
      </c>
      <c r="G11">
        <v>73</v>
      </c>
      <c r="H11">
        <v>0.75976802734375015</v>
      </c>
      <c r="I11">
        <v>110</v>
      </c>
      <c r="J11" s="4">
        <v>44295.685601851852</v>
      </c>
      <c r="K11">
        <v>0.08</v>
      </c>
      <c r="L11">
        <v>0.06</v>
      </c>
      <c r="M11">
        <v>0.12</v>
      </c>
      <c r="N11">
        <v>10</v>
      </c>
      <c r="O11">
        <v>2770</v>
      </c>
      <c r="P11">
        <v>0.75195560546874995</v>
      </c>
    </row>
    <row r="12" spans="1:16" x14ac:dyDescent="0.2">
      <c r="A12" s="3">
        <v>10</v>
      </c>
      <c r="B12" s="4">
        <v>44291.731261574067</v>
      </c>
      <c r="C12">
        <v>139.4</v>
      </c>
      <c r="D12">
        <v>140.30000000000001</v>
      </c>
      <c r="E12">
        <v>141.55000000000001</v>
      </c>
      <c r="F12">
        <v>1</v>
      </c>
      <c r="G12">
        <v>25</v>
      </c>
      <c r="H12">
        <v>0.69922175781250007</v>
      </c>
      <c r="I12">
        <v>115</v>
      </c>
      <c r="J12" s="4">
        <v>44295.757210648153</v>
      </c>
      <c r="K12">
        <v>0.09</v>
      </c>
      <c r="L12">
        <v>0.03</v>
      </c>
      <c r="M12">
        <v>0.1</v>
      </c>
      <c r="N12">
        <v>133</v>
      </c>
      <c r="O12">
        <v>2699</v>
      </c>
      <c r="P12">
        <v>0.68945623046875015</v>
      </c>
    </row>
    <row r="13" spans="1:16" x14ac:dyDescent="0.2">
      <c r="A13" s="3">
        <v>11</v>
      </c>
      <c r="B13" s="4">
        <v>44280.643750000003</v>
      </c>
      <c r="C13">
        <v>112.65</v>
      </c>
      <c r="D13">
        <v>135.30000000000001</v>
      </c>
      <c r="E13">
        <v>136.69999999999999</v>
      </c>
      <c r="F13">
        <v>8</v>
      </c>
      <c r="G13">
        <v>83</v>
      </c>
      <c r="H13">
        <v>0.71972936523437503</v>
      </c>
      <c r="I13">
        <v>120</v>
      </c>
      <c r="J13" s="4">
        <v>44293.693298611113</v>
      </c>
      <c r="K13">
        <v>0.13</v>
      </c>
      <c r="L13">
        <v>0.1</v>
      </c>
      <c r="M13">
        <v>0.12</v>
      </c>
      <c r="N13">
        <v>3</v>
      </c>
      <c r="O13">
        <v>2921</v>
      </c>
      <c r="P13">
        <v>0.69531554687500008</v>
      </c>
    </row>
    <row r="14" spans="1:16" x14ac:dyDescent="0.2">
      <c r="A14" s="3">
        <v>12</v>
      </c>
      <c r="B14" s="4">
        <v>44294.598738425928</v>
      </c>
      <c r="C14">
        <v>128.65</v>
      </c>
      <c r="D14">
        <v>130.30000000000001</v>
      </c>
      <c r="E14">
        <v>131.65</v>
      </c>
      <c r="F14">
        <v>8</v>
      </c>
      <c r="G14">
        <v>118</v>
      </c>
      <c r="H14">
        <v>0.66797207031250017</v>
      </c>
      <c r="I14">
        <v>125</v>
      </c>
      <c r="J14" s="4">
        <v>44295.73673611111</v>
      </c>
      <c r="K14">
        <v>0.14000000000000001</v>
      </c>
      <c r="L14">
        <v>0.13</v>
      </c>
      <c r="M14">
        <v>0.15</v>
      </c>
      <c r="N14">
        <v>214</v>
      </c>
      <c r="O14">
        <v>4409</v>
      </c>
      <c r="P14">
        <v>0.67969070312500013</v>
      </c>
    </row>
    <row r="15" spans="1:16" x14ac:dyDescent="0.2">
      <c r="A15" s="3">
        <v>13</v>
      </c>
      <c r="B15" s="4">
        <v>44294.641712962963</v>
      </c>
      <c r="C15">
        <v>123.2</v>
      </c>
      <c r="D15">
        <v>125.35</v>
      </c>
      <c r="E15">
        <v>126.75</v>
      </c>
      <c r="F15">
        <v>8</v>
      </c>
      <c r="G15">
        <v>2546</v>
      </c>
      <c r="H15">
        <v>0.6738313867187502</v>
      </c>
      <c r="I15">
        <v>130</v>
      </c>
      <c r="J15" s="4">
        <v>44293.803402777783</v>
      </c>
      <c r="K15">
        <v>0.16</v>
      </c>
      <c r="L15">
        <v>0.13</v>
      </c>
      <c r="M15">
        <v>0.17</v>
      </c>
      <c r="N15">
        <v>2</v>
      </c>
      <c r="O15">
        <v>4160</v>
      </c>
      <c r="P15">
        <v>0.65039412109375005</v>
      </c>
    </row>
    <row r="16" spans="1:16" x14ac:dyDescent="0.2">
      <c r="A16" s="3">
        <v>14</v>
      </c>
      <c r="B16" s="4">
        <v>44294.669409722221</v>
      </c>
      <c r="C16">
        <v>118.25</v>
      </c>
      <c r="D16">
        <v>120.35</v>
      </c>
      <c r="E16">
        <v>121.75</v>
      </c>
      <c r="F16">
        <v>8</v>
      </c>
      <c r="G16">
        <v>1276</v>
      </c>
      <c r="H16">
        <v>0.63867548828124998</v>
      </c>
      <c r="I16">
        <v>135</v>
      </c>
      <c r="J16" s="4">
        <v>44295.694120370368</v>
      </c>
      <c r="K16">
        <v>0.2</v>
      </c>
      <c r="L16">
        <v>0.14000000000000001</v>
      </c>
      <c r="M16">
        <v>0.24</v>
      </c>
      <c r="N16">
        <v>1</v>
      </c>
      <c r="O16">
        <v>1446</v>
      </c>
      <c r="P16">
        <v>0.63574583007812513</v>
      </c>
    </row>
    <row r="17" spans="1:16" x14ac:dyDescent="0.2">
      <c r="A17" s="3">
        <v>15</v>
      </c>
      <c r="B17" s="4">
        <v>44294.825243055559</v>
      </c>
      <c r="C17">
        <v>113.5</v>
      </c>
      <c r="D17">
        <v>115.4</v>
      </c>
      <c r="E17">
        <v>116.75</v>
      </c>
      <c r="F17">
        <v>24</v>
      </c>
      <c r="G17">
        <v>1283</v>
      </c>
      <c r="H17">
        <v>0.61523822265625006</v>
      </c>
      <c r="I17">
        <v>140</v>
      </c>
      <c r="J17" s="4">
        <v>44295.581712962958</v>
      </c>
      <c r="K17">
        <v>0.22</v>
      </c>
      <c r="L17">
        <v>0.17</v>
      </c>
      <c r="M17">
        <v>0.27</v>
      </c>
      <c r="N17">
        <v>2</v>
      </c>
      <c r="O17">
        <v>5449</v>
      </c>
      <c r="P17">
        <v>0.61426166992187503</v>
      </c>
    </row>
    <row r="18" spans="1:16" x14ac:dyDescent="0.2">
      <c r="A18" s="3">
        <v>16</v>
      </c>
      <c r="B18" s="4">
        <v>44293.734039351853</v>
      </c>
      <c r="C18">
        <v>105.16</v>
      </c>
      <c r="D18">
        <v>110.4</v>
      </c>
      <c r="E18">
        <v>111.8</v>
      </c>
      <c r="F18">
        <v>8</v>
      </c>
      <c r="G18">
        <v>2640</v>
      </c>
      <c r="H18">
        <v>0.59131268066406262</v>
      </c>
      <c r="I18">
        <v>145</v>
      </c>
      <c r="J18" s="4">
        <v>44287.80641203704</v>
      </c>
      <c r="K18">
        <v>0.32</v>
      </c>
      <c r="L18">
        <v>0.21</v>
      </c>
      <c r="M18">
        <v>0.25</v>
      </c>
      <c r="N18">
        <v>55</v>
      </c>
      <c r="O18">
        <v>2903</v>
      </c>
      <c r="P18">
        <v>0.58545336425781247</v>
      </c>
    </row>
    <row r="19" spans="1:16" x14ac:dyDescent="0.2">
      <c r="A19" s="3">
        <v>17</v>
      </c>
      <c r="B19" s="4">
        <v>44295.755115740743</v>
      </c>
      <c r="C19">
        <v>105.81</v>
      </c>
      <c r="D19">
        <v>105.45</v>
      </c>
      <c r="E19">
        <v>106.85</v>
      </c>
      <c r="F19">
        <v>4</v>
      </c>
      <c r="G19">
        <v>1123</v>
      </c>
      <c r="H19">
        <v>0.57422300781250002</v>
      </c>
      <c r="I19">
        <v>150</v>
      </c>
      <c r="J19" s="4">
        <v>44295.689363425918</v>
      </c>
      <c r="K19">
        <v>0.28999999999999998</v>
      </c>
      <c r="L19">
        <v>0.25</v>
      </c>
      <c r="M19">
        <v>0.33</v>
      </c>
      <c r="N19">
        <v>71</v>
      </c>
      <c r="O19">
        <v>4686</v>
      </c>
      <c r="P19">
        <v>0.57226990234375008</v>
      </c>
    </row>
    <row r="20" spans="1:16" x14ac:dyDescent="0.2">
      <c r="A20" s="3">
        <v>18</v>
      </c>
      <c r="B20" s="4">
        <v>44291.594942129632</v>
      </c>
      <c r="C20">
        <v>94.35</v>
      </c>
      <c r="D20">
        <v>100.45</v>
      </c>
      <c r="E20">
        <v>101.9</v>
      </c>
      <c r="F20">
        <v>16</v>
      </c>
      <c r="G20">
        <v>743</v>
      </c>
      <c r="H20">
        <v>0.54932091308593767</v>
      </c>
      <c r="I20">
        <v>155</v>
      </c>
      <c r="J20" s="4">
        <v>44295.621064814812</v>
      </c>
      <c r="K20">
        <v>0.33</v>
      </c>
      <c r="L20">
        <v>0.27</v>
      </c>
      <c r="M20">
        <v>0.37</v>
      </c>
      <c r="N20">
        <v>5</v>
      </c>
      <c r="O20">
        <v>3256</v>
      </c>
      <c r="P20">
        <v>0.54883263671875016</v>
      </c>
    </row>
    <row r="21" spans="1:16" x14ac:dyDescent="0.2">
      <c r="A21" s="3">
        <v>19</v>
      </c>
      <c r="B21" s="4">
        <v>44295.659363425933</v>
      </c>
      <c r="C21">
        <v>94.5</v>
      </c>
      <c r="D21">
        <v>95.6</v>
      </c>
      <c r="E21">
        <v>96.6</v>
      </c>
      <c r="F21">
        <v>15</v>
      </c>
      <c r="G21">
        <v>2121</v>
      </c>
      <c r="H21">
        <v>0.59521889160156249</v>
      </c>
      <c r="I21">
        <v>160</v>
      </c>
      <c r="J21" s="4">
        <v>44295.823564814818</v>
      </c>
      <c r="K21">
        <v>0.36</v>
      </c>
      <c r="L21">
        <v>0.31</v>
      </c>
      <c r="M21">
        <v>0.41</v>
      </c>
      <c r="N21">
        <v>18</v>
      </c>
      <c r="O21">
        <v>6363</v>
      </c>
      <c r="P21">
        <v>0.52686020019531254</v>
      </c>
    </row>
    <row r="22" spans="1:16" x14ac:dyDescent="0.2">
      <c r="A22" s="3">
        <v>20</v>
      </c>
      <c r="B22" s="4">
        <v>44294.675393518519</v>
      </c>
      <c r="C22">
        <v>88.09</v>
      </c>
      <c r="D22">
        <v>90.55</v>
      </c>
      <c r="E22">
        <v>91.95</v>
      </c>
      <c r="F22">
        <v>1</v>
      </c>
      <c r="G22">
        <v>2192</v>
      </c>
      <c r="H22">
        <v>0.50391121093750002</v>
      </c>
      <c r="I22">
        <v>165</v>
      </c>
      <c r="J22" s="4">
        <v>44295.806805555563</v>
      </c>
      <c r="K22">
        <v>0.42</v>
      </c>
      <c r="L22">
        <v>0.36</v>
      </c>
      <c r="M22">
        <v>0.45</v>
      </c>
      <c r="N22">
        <v>7</v>
      </c>
      <c r="O22">
        <v>5339</v>
      </c>
      <c r="P22">
        <v>0.50586431640624996</v>
      </c>
    </row>
    <row r="23" spans="1:16" x14ac:dyDescent="0.2">
      <c r="A23" s="3">
        <v>21</v>
      </c>
      <c r="B23" s="4">
        <v>44295.77888888889</v>
      </c>
      <c r="C23">
        <v>84.83</v>
      </c>
      <c r="D23">
        <v>85.65</v>
      </c>
      <c r="E23">
        <v>86.55</v>
      </c>
      <c r="F23">
        <v>41</v>
      </c>
      <c r="G23">
        <v>2597</v>
      </c>
      <c r="H23">
        <v>0.52197743652343742</v>
      </c>
      <c r="I23">
        <v>170</v>
      </c>
      <c r="J23" s="4">
        <v>44295.807905092603</v>
      </c>
      <c r="K23">
        <v>0.47</v>
      </c>
      <c r="L23">
        <v>0.46</v>
      </c>
      <c r="M23">
        <v>0.5</v>
      </c>
      <c r="N23">
        <v>21</v>
      </c>
      <c r="O23">
        <v>6251</v>
      </c>
      <c r="P23">
        <v>0.49219257812500011</v>
      </c>
    </row>
    <row r="24" spans="1:16" x14ac:dyDescent="0.2">
      <c r="A24" s="3">
        <v>22</v>
      </c>
      <c r="B24" s="4">
        <v>44295.800243055557</v>
      </c>
      <c r="C24">
        <v>79.599999999999994</v>
      </c>
      <c r="D24">
        <v>80.7</v>
      </c>
      <c r="E24">
        <v>81.7</v>
      </c>
      <c r="F24">
        <v>16</v>
      </c>
      <c r="G24">
        <v>2230</v>
      </c>
      <c r="H24">
        <v>0.50854983642578122</v>
      </c>
      <c r="I24">
        <v>175</v>
      </c>
      <c r="J24" s="4">
        <v>44295.687534722223</v>
      </c>
      <c r="K24">
        <v>0.52</v>
      </c>
      <c r="L24">
        <v>0.48</v>
      </c>
      <c r="M24">
        <v>0.55000000000000004</v>
      </c>
      <c r="N24">
        <v>6</v>
      </c>
      <c r="O24">
        <v>5976</v>
      </c>
      <c r="P24">
        <v>0.46973186523437499</v>
      </c>
    </row>
    <row r="25" spans="1:16" x14ac:dyDescent="0.2">
      <c r="A25" s="3">
        <v>23</v>
      </c>
      <c r="B25" s="4">
        <v>44295.829768518517</v>
      </c>
      <c r="C25">
        <v>76</v>
      </c>
      <c r="D25">
        <v>75.75</v>
      </c>
      <c r="E25">
        <v>76.849999999999994</v>
      </c>
      <c r="F25">
        <v>48</v>
      </c>
      <c r="G25">
        <v>3663</v>
      </c>
      <c r="H25">
        <v>0.49243671630859381</v>
      </c>
      <c r="I25">
        <v>180</v>
      </c>
      <c r="J25" s="4">
        <v>44295.785405092603</v>
      </c>
      <c r="K25">
        <v>0.57999999999999996</v>
      </c>
      <c r="L25">
        <v>0.57999999999999996</v>
      </c>
      <c r="M25">
        <v>0.68</v>
      </c>
      <c r="N25">
        <v>21</v>
      </c>
      <c r="O25">
        <v>13975</v>
      </c>
      <c r="P25">
        <v>0.45703667968750011</v>
      </c>
    </row>
    <row r="26" spans="1:16" x14ac:dyDescent="0.2">
      <c r="A26" s="3">
        <v>24</v>
      </c>
      <c r="B26" s="4">
        <v>44295.752754629633</v>
      </c>
      <c r="C26">
        <v>70.3</v>
      </c>
      <c r="D26">
        <v>70.849999999999994</v>
      </c>
      <c r="E26">
        <v>72.150000000000006</v>
      </c>
      <c r="F26">
        <v>3</v>
      </c>
      <c r="G26">
        <v>1669</v>
      </c>
      <c r="H26">
        <v>0.48730981445312499</v>
      </c>
      <c r="I26">
        <v>185</v>
      </c>
      <c r="J26" s="4">
        <v>44295.635520833333</v>
      </c>
      <c r="K26">
        <v>0.65</v>
      </c>
      <c r="L26">
        <v>0.57999999999999996</v>
      </c>
      <c r="M26">
        <v>0.68</v>
      </c>
      <c r="N26">
        <v>60</v>
      </c>
      <c r="O26">
        <v>6610</v>
      </c>
      <c r="P26">
        <v>0.42676354492187513</v>
      </c>
    </row>
    <row r="27" spans="1:16" x14ac:dyDescent="0.2">
      <c r="A27" s="3">
        <v>25</v>
      </c>
      <c r="B27" s="4">
        <v>44295.817615740743</v>
      </c>
      <c r="C27">
        <v>66</v>
      </c>
      <c r="D27">
        <v>65.849999999999994</v>
      </c>
      <c r="E27">
        <v>67</v>
      </c>
      <c r="F27">
        <v>2</v>
      </c>
      <c r="G27">
        <v>5353</v>
      </c>
      <c r="H27">
        <v>0.44214425048828132</v>
      </c>
      <c r="I27">
        <v>190</v>
      </c>
      <c r="J27" s="4">
        <v>44295.697141203702</v>
      </c>
      <c r="K27">
        <v>0.72</v>
      </c>
      <c r="L27">
        <v>0.68</v>
      </c>
      <c r="M27">
        <v>0.76</v>
      </c>
      <c r="N27">
        <v>331</v>
      </c>
      <c r="O27">
        <v>9133</v>
      </c>
      <c r="P27">
        <v>0.40576766113281248</v>
      </c>
    </row>
    <row r="28" spans="1:16" x14ac:dyDescent="0.2">
      <c r="A28" s="3">
        <v>26</v>
      </c>
      <c r="B28" s="4">
        <v>44295.592210648138</v>
      </c>
      <c r="C28">
        <v>60.25</v>
      </c>
      <c r="D28">
        <v>60.95</v>
      </c>
      <c r="E28">
        <v>62.25</v>
      </c>
      <c r="F28">
        <v>1</v>
      </c>
      <c r="G28">
        <v>2323</v>
      </c>
      <c r="H28">
        <v>0.42969320312499998</v>
      </c>
      <c r="I28">
        <v>195</v>
      </c>
      <c r="J28" s="4">
        <v>44295.797407407408</v>
      </c>
      <c r="K28">
        <v>0.82</v>
      </c>
      <c r="L28">
        <v>0.78</v>
      </c>
      <c r="M28">
        <v>0.9</v>
      </c>
      <c r="N28">
        <v>76</v>
      </c>
      <c r="O28">
        <v>5416</v>
      </c>
      <c r="P28">
        <v>0.38965454101562502</v>
      </c>
    </row>
    <row r="29" spans="1:16" x14ac:dyDescent="0.2">
      <c r="A29" s="3">
        <v>27</v>
      </c>
      <c r="B29" s="4">
        <v>44295.796574074076</v>
      </c>
      <c r="C29">
        <v>56.45</v>
      </c>
      <c r="D29">
        <v>56.05</v>
      </c>
      <c r="E29">
        <v>57.3</v>
      </c>
      <c r="F29">
        <v>104</v>
      </c>
      <c r="G29">
        <v>3747</v>
      </c>
      <c r="H29">
        <v>0.40112903564453117</v>
      </c>
      <c r="I29">
        <v>200</v>
      </c>
      <c r="J29" s="4">
        <v>44295.827268518522</v>
      </c>
      <c r="K29">
        <v>0.93</v>
      </c>
      <c r="L29">
        <v>0.9</v>
      </c>
      <c r="M29">
        <v>1</v>
      </c>
      <c r="N29">
        <v>417</v>
      </c>
      <c r="O29">
        <v>13893</v>
      </c>
      <c r="P29">
        <v>0.36804831176757807</v>
      </c>
    </row>
    <row r="30" spans="1:16" x14ac:dyDescent="0.2">
      <c r="A30" s="3">
        <v>28</v>
      </c>
      <c r="B30" s="4">
        <v>44295.657129629632</v>
      </c>
      <c r="C30">
        <v>50.3</v>
      </c>
      <c r="D30">
        <v>51.2</v>
      </c>
      <c r="E30">
        <v>52.5</v>
      </c>
      <c r="F30">
        <v>5</v>
      </c>
      <c r="G30">
        <v>1566</v>
      </c>
      <c r="H30">
        <v>0.38172005004882797</v>
      </c>
      <c r="I30">
        <v>205</v>
      </c>
      <c r="J30" s="4">
        <v>44295.785578703697</v>
      </c>
      <c r="K30">
        <v>1.08</v>
      </c>
      <c r="L30">
        <v>1.01</v>
      </c>
      <c r="M30">
        <v>1.25</v>
      </c>
      <c r="N30">
        <v>319</v>
      </c>
      <c r="O30">
        <v>6711</v>
      </c>
      <c r="P30">
        <v>0.3562076098632812</v>
      </c>
    </row>
    <row r="31" spans="1:16" x14ac:dyDescent="0.2">
      <c r="A31" s="3">
        <v>29</v>
      </c>
      <c r="B31" s="4">
        <v>44295.828969907408</v>
      </c>
      <c r="C31">
        <v>46.27</v>
      </c>
      <c r="D31">
        <v>46.4</v>
      </c>
      <c r="E31">
        <v>47.3</v>
      </c>
      <c r="F31">
        <v>90</v>
      </c>
      <c r="G31">
        <v>8146</v>
      </c>
      <c r="H31">
        <v>0.33777517700195309</v>
      </c>
      <c r="I31">
        <v>210</v>
      </c>
      <c r="J31" s="4">
        <v>44295.83053240741</v>
      </c>
      <c r="K31">
        <v>1.26</v>
      </c>
      <c r="L31">
        <v>1.21</v>
      </c>
      <c r="M31">
        <v>1.4</v>
      </c>
      <c r="N31">
        <v>231</v>
      </c>
      <c r="O31">
        <v>9539</v>
      </c>
      <c r="P31">
        <v>0.33508965698242188</v>
      </c>
    </row>
    <row r="32" spans="1:16" x14ac:dyDescent="0.2">
      <c r="A32" s="3">
        <v>30</v>
      </c>
      <c r="B32" s="4">
        <v>44295.830057870371</v>
      </c>
      <c r="C32">
        <v>42</v>
      </c>
      <c r="D32">
        <v>41.85</v>
      </c>
      <c r="E32">
        <v>42.55</v>
      </c>
      <c r="F32">
        <v>34</v>
      </c>
      <c r="G32">
        <v>5508</v>
      </c>
      <c r="H32">
        <v>0.32031929687499988</v>
      </c>
      <c r="I32">
        <v>215</v>
      </c>
      <c r="J32" s="4">
        <v>44295.820208333331</v>
      </c>
      <c r="K32">
        <v>1.51</v>
      </c>
      <c r="L32">
        <v>1.41</v>
      </c>
      <c r="M32">
        <v>1.64</v>
      </c>
      <c r="N32">
        <v>79</v>
      </c>
      <c r="O32">
        <v>9934</v>
      </c>
      <c r="P32">
        <v>0.31738963867187497</v>
      </c>
    </row>
    <row r="33" spans="1:16" x14ac:dyDescent="0.2">
      <c r="A33" s="3">
        <v>31</v>
      </c>
      <c r="B33" s="4">
        <v>44295.828969907408</v>
      </c>
      <c r="C33">
        <v>36.869999999999997</v>
      </c>
      <c r="D33">
        <v>37</v>
      </c>
      <c r="E33">
        <v>38.299999999999997</v>
      </c>
      <c r="F33">
        <v>47</v>
      </c>
      <c r="G33">
        <v>10713</v>
      </c>
      <c r="H33">
        <v>0.32276067871093739</v>
      </c>
      <c r="I33">
        <v>220</v>
      </c>
      <c r="J33" s="4">
        <v>44295.823564814818</v>
      </c>
      <c r="K33">
        <v>1.89</v>
      </c>
      <c r="L33">
        <v>1.78</v>
      </c>
      <c r="M33">
        <v>1.93</v>
      </c>
      <c r="N33">
        <v>95</v>
      </c>
      <c r="O33">
        <v>7766</v>
      </c>
      <c r="P33">
        <v>0.29968962036132812</v>
      </c>
    </row>
    <row r="34" spans="1:16" x14ac:dyDescent="0.2">
      <c r="A34" s="3">
        <v>32</v>
      </c>
      <c r="B34" s="4">
        <v>44295.815648148149</v>
      </c>
      <c r="C34">
        <v>32.83</v>
      </c>
      <c r="D34">
        <v>32.450000000000003</v>
      </c>
      <c r="E34">
        <v>33.25</v>
      </c>
      <c r="F34">
        <v>314</v>
      </c>
      <c r="G34">
        <v>7791</v>
      </c>
      <c r="H34">
        <v>0.28668926208496093</v>
      </c>
      <c r="I34">
        <v>225</v>
      </c>
      <c r="J34" s="4">
        <v>44295.817708333343</v>
      </c>
      <c r="K34">
        <v>2.4</v>
      </c>
      <c r="L34">
        <v>2.2799999999999998</v>
      </c>
      <c r="M34">
        <v>2.38</v>
      </c>
      <c r="N34">
        <v>149</v>
      </c>
      <c r="O34">
        <v>8605</v>
      </c>
      <c r="P34">
        <v>0.28601788208007811</v>
      </c>
    </row>
    <row r="35" spans="1:16" x14ac:dyDescent="0.2">
      <c r="A35" s="3">
        <v>33</v>
      </c>
      <c r="B35" s="4">
        <v>44295.833090277767</v>
      </c>
      <c r="C35">
        <v>28.7</v>
      </c>
      <c r="D35">
        <v>28.15</v>
      </c>
      <c r="E35">
        <v>28.9</v>
      </c>
      <c r="F35">
        <v>269</v>
      </c>
      <c r="G35">
        <v>22235</v>
      </c>
      <c r="H35">
        <v>0.27606925109863278</v>
      </c>
      <c r="I35">
        <v>230</v>
      </c>
      <c r="J35" s="4">
        <v>44295.82613425926</v>
      </c>
      <c r="K35">
        <v>2.91</v>
      </c>
      <c r="L35">
        <v>2.89</v>
      </c>
      <c r="M35">
        <v>3.05</v>
      </c>
      <c r="N35">
        <v>284</v>
      </c>
      <c r="O35">
        <v>9156</v>
      </c>
      <c r="P35">
        <v>0.27625235473632798</v>
      </c>
    </row>
    <row r="36" spans="1:16" x14ac:dyDescent="0.2">
      <c r="A36" s="3">
        <v>34</v>
      </c>
      <c r="B36" s="4">
        <v>44295.831111111111</v>
      </c>
      <c r="C36">
        <v>24.25</v>
      </c>
      <c r="D36">
        <v>24.05</v>
      </c>
      <c r="E36">
        <v>24.8</v>
      </c>
      <c r="F36">
        <v>209</v>
      </c>
      <c r="G36">
        <v>5498</v>
      </c>
      <c r="H36">
        <v>0.2681347601318359</v>
      </c>
      <c r="I36">
        <v>235</v>
      </c>
      <c r="J36" s="4">
        <v>44295.833090277767</v>
      </c>
      <c r="K36">
        <v>3.75</v>
      </c>
      <c r="L36">
        <v>3.7</v>
      </c>
      <c r="M36">
        <v>3.9</v>
      </c>
      <c r="N36">
        <v>344</v>
      </c>
      <c r="O36">
        <v>6227</v>
      </c>
      <c r="P36">
        <v>0.26679200012207038</v>
      </c>
    </row>
    <row r="37" spans="1:16" x14ac:dyDescent="0.2">
      <c r="A37" s="3">
        <v>35</v>
      </c>
      <c r="B37" s="4">
        <v>44295.833078703698</v>
      </c>
      <c r="C37">
        <v>20.5</v>
      </c>
      <c r="D37">
        <v>20.25</v>
      </c>
      <c r="E37">
        <v>20.75</v>
      </c>
      <c r="F37">
        <v>376</v>
      </c>
      <c r="G37">
        <v>34413</v>
      </c>
      <c r="H37">
        <v>0.25562267822265627</v>
      </c>
      <c r="I37">
        <v>240</v>
      </c>
      <c r="J37" s="4">
        <v>44295.829768518517</v>
      </c>
      <c r="K37">
        <v>5.0199999999999996</v>
      </c>
      <c r="L37">
        <v>4.8499999999999996</v>
      </c>
      <c r="M37">
        <v>5.05</v>
      </c>
      <c r="N37">
        <v>264</v>
      </c>
      <c r="O37">
        <v>17816</v>
      </c>
      <c r="P37">
        <v>0.25983406188964842</v>
      </c>
    </row>
    <row r="38" spans="1:16" x14ac:dyDescent="0.2">
      <c r="A38" s="3">
        <v>36</v>
      </c>
      <c r="B38" s="4">
        <v>44295.830405092587</v>
      </c>
      <c r="C38">
        <v>16.75</v>
      </c>
      <c r="D38">
        <v>16.600000000000001</v>
      </c>
      <c r="E38">
        <v>17</v>
      </c>
      <c r="F38">
        <v>222</v>
      </c>
      <c r="G38">
        <v>6461</v>
      </c>
      <c r="H38">
        <v>0.24494163269042971</v>
      </c>
      <c r="I38">
        <v>245</v>
      </c>
      <c r="J38" s="4">
        <v>44295.829768518517</v>
      </c>
      <c r="K38">
        <v>6.47</v>
      </c>
      <c r="L38">
        <v>6.2</v>
      </c>
      <c r="M38">
        <v>6.45</v>
      </c>
      <c r="N38">
        <v>525</v>
      </c>
      <c r="O38">
        <v>1906</v>
      </c>
      <c r="P38">
        <v>0.25247939910888673</v>
      </c>
    </row>
    <row r="39" spans="1:16" x14ac:dyDescent="0.2">
      <c r="A39" s="3">
        <v>37</v>
      </c>
      <c r="B39" s="4">
        <v>44295.832569444443</v>
      </c>
      <c r="C39">
        <v>13.6</v>
      </c>
      <c r="D39">
        <v>13.45</v>
      </c>
      <c r="E39">
        <v>13.75</v>
      </c>
      <c r="F39">
        <v>1153</v>
      </c>
      <c r="G39">
        <v>34420</v>
      </c>
      <c r="H39">
        <v>0.23920438537597649</v>
      </c>
      <c r="I39">
        <v>250</v>
      </c>
      <c r="J39" s="4">
        <v>44295.828472222223</v>
      </c>
      <c r="K39">
        <v>8.25</v>
      </c>
      <c r="L39">
        <v>8</v>
      </c>
      <c r="M39">
        <v>8.25</v>
      </c>
      <c r="N39">
        <v>830</v>
      </c>
      <c r="O39">
        <v>24057</v>
      </c>
      <c r="P39">
        <v>0.24744404907226561</v>
      </c>
    </row>
    <row r="40" spans="1:16" x14ac:dyDescent="0.2">
      <c r="A40" s="3">
        <v>38</v>
      </c>
      <c r="B40" s="4">
        <v>44295.83222222222</v>
      </c>
      <c r="C40">
        <v>10.81</v>
      </c>
      <c r="D40">
        <v>10.6</v>
      </c>
      <c r="E40">
        <v>10.9</v>
      </c>
      <c r="F40">
        <v>1077</v>
      </c>
      <c r="G40">
        <v>6850</v>
      </c>
      <c r="H40">
        <v>0.234657311706543</v>
      </c>
      <c r="I40">
        <v>255</v>
      </c>
      <c r="J40" s="4">
        <v>44295.830393518518</v>
      </c>
      <c r="K40">
        <v>10.35</v>
      </c>
      <c r="L40">
        <v>10.15</v>
      </c>
      <c r="M40">
        <v>10.45</v>
      </c>
      <c r="N40">
        <v>844</v>
      </c>
      <c r="O40">
        <v>181</v>
      </c>
      <c r="P40">
        <v>0.24375145904541021</v>
      </c>
    </row>
    <row r="41" spans="1:16" x14ac:dyDescent="0.2">
      <c r="A41" s="3">
        <v>39</v>
      </c>
      <c r="B41" s="4">
        <v>44295.832442129627</v>
      </c>
      <c r="C41">
        <v>8.4</v>
      </c>
      <c r="D41">
        <v>8.3000000000000007</v>
      </c>
      <c r="E41">
        <v>8.5</v>
      </c>
      <c r="F41">
        <v>652</v>
      </c>
      <c r="G41">
        <v>14533</v>
      </c>
      <c r="H41">
        <v>0.2318192053222656</v>
      </c>
      <c r="I41">
        <v>260</v>
      </c>
      <c r="J41" s="4">
        <v>44295.823564814818</v>
      </c>
      <c r="K41">
        <v>12.94</v>
      </c>
      <c r="L41">
        <v>12.6</v>
      </c>
      <c r="M41">
        <v>13</v>
      </c>
      <c r="N41">
        <v>35</v>
      </c>
      <c r="O41">
        <v>222</v>
      </c>
      <c r="P41">
        <v>0.23981473083496091</v>
      </c>
    </row>
    <row r="42" spans="1:16" x14ac:dyDescent="0.2">
      <c r="A42" s="3">
        <v>40</v>
      </c>
      <c r="B42" s="4">
        <v>44295.832418981481</v>
      </c>
      <c r="C42">
        <v>6.37</v>
      </c>
      <c r="D42">
        <v>6.25</v>
      </c>
      <c r="E42">
        <v>6.55</v>
      </c>
      <c r="F42">
        <v>303</v>
      </c>
      <c r="G42">
        <v>5919</v>
      </c>
      <c r="H42">
        <v>0.23078161804199221</v>
      </c>
      <c r="I42">
        <v>265</v>
      </c>
      <c r="J42" s="4">
        <v>44295.817835648151</v>
      </c>
      <c r="K42">
        <v>16</v>
      </c>
      <c r="L42">
        <v>15.55</v>
      </c>
      <c r="M42">
        <v>15.95</v>
      </c>
      <c r="N42">
        <v>24</v>
      </c>
      <c r="O42">
        <v>117</v>
      </c>
      <c r="P42">
        <v>0.23673248626708979</v>
      </c>
    </row>
    <row r="43" spans="1:16" x14ac:dyDescent="0.2">
      <c r="A43" s="3">
        <v>41</v>
      </c>
      <c r="B43" s="4">
        <v>44295.829791666663</v>
      </c>
      <c r="C43">
        <v>4.7</v>
      </c>
      <c r="D43">
        <v>4.5999999999999996</v>
      </c>
      <c r="E43">
        <v>4.9000000000000004</v>
      </c>
      <c r="F43">
        <v>912</v>
      </c>
      <c r="G43">
        <v>16675</v>
      </c>
      <c r="H43">
        <v>0.22852333984375001</v>
      </c>
      <c r="I43">
        <v>270</v>
      </c>
      <c r="J43" s="4">
        <v>44295.770069444443</v>
      </c>
      <c r="K43">
        <v>20.079999999999998</v>
      </c>
      <c r="L43">
        <v>18.899999999999999</v>
      </c>
      <c r="M43">
        <v>19.399999999999999</v>
      </c>
      <c r="N43">
        <v>46</v>
      </c>
      <c r="O43">
        <v>265</v>
      </c>
      <c r="P43">
        <v>0.23743438354492191</v>
      </c>
    </row>
    <row r="44" spans="1:16" x14ac:dyDescent="0.2">
      <c r="A44" s="3">
        <v>42</v>
      </c>
      <c r="B44" s="4">
        <v>44295.832812499997</v>
      </c>
      <c r="C44">
        <v>3.5</v>
      </c>
      <c r="D44">
        <v>3.4</v>
      </c>
      <c r="E44">
        <v>3.6</v>
      </c>
      <c r="F44">
        <v>1783</v>
      </c>
      <c r="G44">
        <v>2855</v>
      </c>
      <c r="H44">
        <v>0.22693644165039059</v>
      </c>
      <c r="I44">
        <v>275</v>
      </c>
      <c r="J44" s="4">
        <v>44293.630428240736</v>
      </c>
      <c r="K44">
        <v>27.2</v>
      </c>
      <c r="L44">
        <v>22.7</v>
      </c>
      <c r="M44">
        <v>23.3</v>
      </c>
      <c r="N44">
        <v>46</v>
      </c>
      <c r="O44">
        <v>126</v>
      </c>
      <c r="P44">
        <v>0.24228662994384759</v>
      </c>
    </row>
    <row r="45" spans="1:16" x14ac:dyDescent="0.2">
      <c r="A45" s="3">
        <v>43</v>
      </c>
      <c r="B45" s="4">
        <v>44295.832337962973</v>
      </c>
      <c r="C45">
        <v>2.5499999999999998</v>
      </c>
      <c r="D45">
        <v>2.48</v>
      </c>
      <c r="E45">
        <v>2.6</v>
      </c>
      <c r="F45">
        <v>1077</v>
      </c>
      <c r="G45">
        <v>10630</v>
      </c>
      <c r="H45">
        <v>0.22583781982421869</v>
      </c>
      <c r="I45">
        <v>280</v>
      </c>
      <c r="J45" s="4">
        <v>44295.81523148148</v>
      </c>
      <c r="K45">
        <v>27.5</v>
      </c>
      <c r="L45">
        <v>26.75</v>
      </c>
      <c r="M45">
        <v>27.5</v>
      </c>
      <c r="N45">
        <v>1</v>
      </c>
      <c r="O45">
        <v>116</v>
      </c>
      <c r="P45">
        <v>0.2493971545410156</v>
      </c>
    </row>
    <row r="46" spans="1:16" x14ac:dyDescent="0.2">
      <c r="A46" s="3">
        <v>44</v>
      </c>
      <c r="B46" s="4">
        <v>44295.831585648149</v>
      </c>
      <c r="C46">
        <v>1.85</v>
      </c>
      <c r="D46">
        <v>1.78</v>
      </c>
      <c r="E46">
        <v>1.94</v>
      </c>
      <c r="F46">
        <v>631</v>
      </c>
      <c r="G46">
        <v>1614</v>
      </c>
      <c r="H46">
        <v>0.22870644348144531</v>
      </c>
      <c r="I46">
        <v>285</v>
      </c>
      <c r="J46" s="4">
        <v>44295.822847222233</v>
      </c>
      <c r="K46">
        <v>32</v>
      </c>
      <c r="L46">
        <v>31</v>
      </c>
      <c r="M46">
        <v>31.85</v>
      </c>
      <c r="N46">
        <v>10</v>
      </c>
      <c r="O46">
        <v>63</v>
      </c>
      <c r="P46">
        <v>0.25598888549804688</v>
      </c>
    </row>
    <row r="47" spans="1:16" x14ac:dyDescent="0.2">
      <c r="A47" s="3">
        <v>45</v>
      </c>
      <c r="B47" s="4">
        <v>44295.831701388888</v>
      </c>
      <c r="C47">
        <v>1.39</v>
      </c>
      <c r="D47">
        <v>1.3</v>
      </c>
      <c r="E47">
        <v>1.43</v>
      </c>
      <c r="F47">
        <v>256</v>
      </c>
      <c r="G47">
        <v>1402</v>
      </c>
      <c r="H47">
        <v>0.23114782531738279</v>
      </c>
      <c r="I47">
        <v>290</v>
      </c>
      <c r="J47" s="4">
        <v>44293.582754629628</v>
      </c>
      <c r="K47">
        <v>42.55</v>
      </c>
      <c r="L47">
        <v>35.5</v>
      </c>
      <c r="M47">
        <v>36.4</v>
      </c>
      <c r="N47">
        <v>15</v>
      </c>
      <c r="O47">
        <v>101</v>
      </c>
      <c r="P47">
        <v>0.26496096374511707</v>
      </c>
    </row>
    <row r="48" spans="1:16" x14ac:dyDescent="0.2">
      <c r="A48" s="3">
        <v>46</v>
      </c>
      <c r="B48" s="4">
        <v>44295.754560185182</v>
      </c>
      <c r="C48">
        <v>0.96</v>
      </c>
      <c r="D48">
        <v>0.94</v>
      </c>
      <c r="E48">
        <v>1.08</v>
      </c>
      <c r="F48">
        <v>246</v>
      </c>
      <c r="G48">
        <v>505</v>
      </c>
      <c r="H48">
        <v>0.23535920898437501</v>
      </c>
      <c r="I48">
        <v>295</v>
      </c>
      <c r="J48" s="4">
        <v>44294.677291666667</v>
      </c>
      <c r="K48">
        <v>43.2</v>
      </c>
      <c r="L48">
        <v>40.25</v>
      </c>
      <c r="M48">
        <v>41.15</v>
      </c>
      <c r="N48">
        <v>12</v>
      </c>
      <c r="O48">
        <v>60</v>
      </c>
      <c r="P48">
        <v>0.27844959838867189</v>
      </c>
    </row>
    <row r="49" spans="1:16" x14ac:dyDescent="0.2">
      <c r="A49" s="3">
        <v>47</v>
      </c>
      <c r="B49" s="4">
        <v>44295.804409722223</v>
      </c>
      <c r="C49">
        <v>0.74</v>
      </c>
      <c r="D49">
        <v>0.72</v>
      </c>
      <c r="E49">
        <v>0.8</v>
      </c>
      <c r="F49">
        <v>378</v>
      </c>
      <c r="G49">
        <v>3456</v>
      </c>
      <c r="H49">
        <v>0.23841093627929691</v>
      </c>
      <c r="I49">
        <v>300</v>
      </c>
      <c r="J49" s="4">
        <v>44295.734363425923</v>
      </c>
      <c r="K49">
        <v>46.2</v>
      </c>
      <c r="L49">
        <v>45</v>
      </c>
      <c r="M49">
        <v>45.9</v>
      </c>
      <c r="N49">
        <v>5</v>
      </c>
      <c r="O49">
        <v>150</v>
      </c>
      <c r="P49">
        <v>0.28955788574218738</v>
      </c>
    </row>
    <row r="50" spans="1:16" x14ac:dyDescent="0.2">
      <c r="A50" s="3">
        <v>48</v>
      </c>
      <c r="B50" s="4">
        <v>44295.801736111112</v>
      </c>
      <c r="C50">
        <v>0.61</v>
      </c>
      <c r="D50">
        <v>0.55000000000000004</v>
      </c>
      <c r="E50">
        <v>0.67</v>
      </c>
      <c r="F50">
        <v>9</v>
      </c>
      <c r="G50">
        <v>57</v>
      </c>
      <c r="H50">
        <v>0.24756611816406249</v>
      </c>
      <c r="I50">
        <v>305</v>
      </c>
      <c r="J50" s="4">
        <v>44294.60359953704</v>
      </c>
      <c r="K50">
        <v>52.9</v>
      </c>
      <c r="L50">
        <v>0</v>
      </c>
      <c r="M50">
        <v>0</v>
      </c>
      <c r="N50">
        <v>5</v>
      </c>
      <c r="O50">
        <v>0</v>
      </c>
      <c r="P50">
        <v>1.0000000000000001E-5</v>
      </c>
    </row>
    <row r="51" spans="1:16" x14ac:dyDescent="0.2">
      <c r="A51" s="3">
        <v>49</v>
      </c>
      <c r="B51" s="4">
        <v>44295.814467592587</v>
      </c>
      <c r="C51">
        <v>0.46</v>
      </c>
      <c r="D51">
        <v>0.4</v>
      </c>
      <c r="E51">
        <v>0.56000000000000005</v>
      </c>
      <c r="F51">
        <v>17</v>
      </c>
      <c r="G51">
        <v>578</v>
      </c>
      <c r="H51">
        <v>0.25611095458984379</v>
      </c>
      <c r="I51">
        <v>310</v>
      </c>
      <c r="J51" s="4">
        <v>44292.684398148151</v>
      </c>
      <c r="K51">
        <v>62.35</v>
      </c>
      <c r="L51">
        <v>54.3</v>
      </c>
      <c r="M51">
        <v>55.65</v>
      </c>
      <c r="N51">
        <v>24</v>
      </c>
      <c r="O51">
        <v>48</v>
      </c>
      <c r="P51">
        <v>0.31799998413085928</v>
      </c>
    </row>
    <row r="52" spans="1:16" x14ac:dyDescent="0.2">
      <c r="A52" s="3">
        <v>50</v>
      </c>
      <c r="B52" s="4">
        <v>44295.818495370368</v>
      </c>
      <c r="C52">
        <v>0.39</v>
      </c>
      <c r="D52">
        <v>0.34</v>
      </c>
      <c r="E52">
        <v>0.47</v>
      </c>
      <c r="F52">
        <v>17</v>
      </c>
      <c r="G52">
        <v>288</v>
      </c>
      <c r="H52">
        <v>0.26404544555664061</v>
      </c>
      <c r="I52">
        <v>315</v>
      </c>
      <c r="J52" s="4">
        <v>44292.784791666672</v>
      </c>
      <c r="K52">
        <v>66.900000000000006</v>
      </c>
      <c r="L52">
        <v>0</v>
      </c>
      <c r="M52">
        <v>0</v>
      </c>
      <c r="O52">
        <v>0</v>
      </c>
      <c r="P52">
        <v>1.0000000000000001E-5</v>
      </c>
    </row>
    <row r="53" spans="1:16" x14ac:dyDescent="0.2">
      <c r="A53" s="3">
        <v>51</v>
      </c>
      <c r="B53" s="4">
        <v>44295.820497685178</v>
      </c>
      <c r="C53">
        <v>0.33</v>
      </c>
      <c r="D53">
        <v>0.26</v>
      </c>
      <c r="E53">
        <v>0.4</v>
      </c>
      <c r="F53">
        <v>51</v>
      </c>
      <c r="G53">
        <v>2858</v>
      </c>
      <c r="H53">
        <v>0.27222407470703119</v>
      </c>
      <c r="I53">
        <v>320</v>
      </c>
      <c r="J53" s="4">
        <v>44291.809837962966</v>
      </c>
      <c r="K53">
        <v>71.849999999999994</v>
      </c>
      <c r="L53">
        <v>64.150000000000006</v>
      </c>
      <c r="M53">
        <v>65.55</v>
      </c>
      <c r="N53">
        <v>10</v>
      </c>
      <c r="O53">
        <v>45</v>
      </c>
      <c r="P53">
        <v>0.34998208618164062</v>
      </c>
    </row>
    <row r="54" spans="1:16" x14ac:dyDescent="0.2">
      <c r="A54" s="3">
        <v>52</v>
      </c>
      <c r="B54" s="4">
        <v>44294.768923611111</v>
      </c>
      <c r="C54">
        <v>0.3</v>
      </c>
      <c r="D54">
        <v>0.19</v>
      </c>
      <c r="E54">
        <v>0.36</v>
      </c>
      <c r="F54">
        <v>3</v>
      </c>
      <c r="G54">
        <v>21</v>
      </c>
      <c r="H54">
        <v>0.28247787841796868</v>
      </c>
      <c r="I54">
        <v>325</v>
      </c>
      <c r="J54" s="4">
        <v>44294.60359953704</v>
      </c>
      <c r="K54">
        <v>72.650000000000006</v>
      </c>
      <c r="L54">
        <v>0</v>
      </c>
      <c r="M54">
        <v>0</v>
      </c>
      <c r="N54">
        <v>3</v>
      </c>
      <c r="O54">
        <v>0</v>
      </c>
      <c r="P54">
        <v>1.0000000000000001E-5</v>
      </c>
    </row>
    <row r="55" spans="1:16" x14ac:dyDescent="0.2">
      <c r="A55" s="3">
        <v>53</v>
      </c>
      <c r="B55" s="4">
        <v>44295.828969907408</v>
      </c>
      <c r="C55">
        <v>0.28000000000000003</v>
      </c>
      <c r="D55">
        <v>0.19</v>
      </c>
      <c r="E55">
        <v>0.33</v>
      </c>
      <c r="F55">
        <v>8</v>
      </c>
      <c r="G55">
        <v>1312</v>
      </c>
      <c r="H55">
        <v>0.29297582031249991</v>
      </c>
      <c r="I55">
        <v>330</v>
      </c>
      <c r="J55" s="4">
        <v>44293.606863425928</v>
      </c>
      <c r="K55">
        <v>81.05</v>
      </c>
      <c r="L55">
        <v>0</v>
      </c>
      <c r="M55">
        <v>0</v>
      </c>
      <c r="O55">
        <v>0</v>
      </c>
      <c r="P55">
        <v>1.0000000000000001E-5</v>
      </c>
    </row>
    <row r="56" spans="1:16" x14ac:dyDescent="0.2">
      <c r="A56" s="3">
        <v>54</v>
      </c>
      <c r="B56" s="4">
        <v>44294.758622685193</v>
      </c>
      <c r="C56">
        <v>0.24</v>
      </c>
      <c r="D56">
        <v>0</v>
      </c>
      <c r="E56">
        <v>0</v>
      </c>
      <c r="F56">
        <v>1</v>
      </c>
      <c r="G56">
        <v>0</v>
      </c>
      <c r="H56">
        <v>0.12500875</v>
      </c>
      <c r="I56">
        <v>335</v>
      </c>
      <c r="J56" s="4">
        <v>44292.59412037037</v>
      </c>
      <c r="K56">
        <v>87.8</v>
      </c>
      <c r="L56">
        <v>0</v>
      </c>
      <c r="M56">
        <v>0</v>
      </c>
      <c r="O56">
        <v>0</v>
      </c>
      <c r="P56">
        <v>1.0000000000000001E-5</v>
      </c>
    </row>
    <row r="57" spans="1:16" x14ac:dyDescent="0.2">
      <c r="A57" s="3">
        <v>55</v>
      </c>
      <c r="B57" s="4">
        <v>44294.831145833326</v>
      </c>
      <c r="C57">
        <v>0.2</v>
      </c>
      <c r="D57">
        <v>0.15</v>
      </c>
      <c r="E57">
        <v>0.24</v>
      </c>
      <c r="F57">
        <v>1</v>
      </c>
      <c r="G57">
        <v>13</v>
      </c>
      <c r="H57">
        <v>0.30591514404296882</v>
      </c>
      <c r="I57">
        <v>340</v>
      </c>
      <c r="J57" s="4">
        <v>44292.695949074077</v>
      </c>
      <c r="K57">
        <v>91.5</v>
      </c>
      <c r="L57">
        <v>0</v>
      </c>
      <c r="M57">
        <v>0</v>
      </c>
      <c r="O57">
        <v>0</v>
      </c>
      <c r="P57">
        <v>1.0000000000000001E-5</v>
      </c>
    </row>
    <row r="58" spans="1:16" x14ac:dyDescent="0.2">
      <c r="A58" s="3">
        <v>56</v>
      </c>
      <c r="B58" s="4">
        <v>44293.679942129631</v>
      </c>
      <c r="C58">
        <v>0.2</v>
      </c>
      <c r="D58">
        <v>0.17</v>
      </c>
      <c r="E58">
        <v>0.22</v>
      </c>
      <c r="F58">
        <v>21</v>
      </c>
      <c r="G58">
        <v>54</v>
      </c>
      <c r="H58">
        <v>0.31494825683593741</v>
      </c>
      <c r="I58">
        <v>345</v>
      </c>
    </row>
    <row r="59" spans="1:16" x14ac:dyDescent="0.2">
      <c r="A59" s="3">
        <v>57</v>
      </c>
      <c r="B59" s="4">
        <v>44295.824282407397</v>
      </c>
      <c r="C59">
        <v>0.17</v>
      </c>
      <c r="D59">
        <v>0.15</v>
      </c>
      <c r="E59">
        <v>0.24</v>
      </c>
      <c r="F59">
        <v>2</v>
      </c>
      <c r="G59">
        <v>261</v>
      </c>
      <c r="H59">
        <v>0.33179379150390631</v>
      </c>
      <c r="I59">
        <v>350</v>
      </c>
      <c r="J59" s="4">
        <v>44244.685011574067</v>
      </c>
      <c r="K59">
        <v>108.6</v>
      </c>
      <c r="L59">
        <v>118.6</v>
      </c>
      <c r="M59">
        <v>119.15</v>
      </c>
      <c r="O59">
        <v>1</v>
      </c>
      <c r="P59">
        <v>1.165165307006836</v>
      </c>
    </row>
    <row r="60" spans="1:16" x14ac:dyDescent="0.2">
      <c r="A60" s="3">
        <v>58</v>
      </c>
      <c r="B60" s="4">
        <v>44291.68041666667</v>
      </c>
      <c r="C60">
        <v>0.18</v>
      </c>
      <c r="D60">
        <v>0</v>
      </c>
      <c r="E60">
        <v>0</v>
      </c>
      <c r="G60">
        <v>0</v>
      </c>
      <c r="H60">
        <v>0.12500875</v>
      </c>
      <c r="I60">
        <v>355</v>
      </c>
    </row>
    <row r="61" spans="1:16" x14ac:dyDescent="0.2">
      <c r="A61" s="3">
        <v>59</v>
      </c>
      <c r="B61" s="4">
        <v>44295.739224537043</v>
      </c>
      <c r="C61">
        <v>0.15</v>
      </c>
      <c r="D61">
        <v>0.09</v>
      </c>
      <c r="E61">
        <v>0.21</v>
      </c>
      <c r="F61">
        <v>10</v>
      </c>
      <c r="G61">
        <v>1238</v>
      </c>
      <c r="H61">
        <v>0.35010415527343741</v>
      </c>
      <c r="I61">
        <v>360</v>
      </c>
      <c r="J61" s="4">
        <v>44272.612488425933</v>
      </c>
      <c r="K61">
        <v>124.95</v>
      </c>
      <c r="L61">
        <v>103.95</v>
      </c>
      <c r="M61">
        <v>105.35</v>
      </c>
      <c r="N61">
        <v>4</v>
      </c>
      <c r="O61">
        <v>5</v>
      </c>
      <c r="P61">
        <v>0.46631393066406263</v>
      </c>
    </row>
    <row r="62" spans="1:16" x14ac:dyDescent="0.2">
      <c r="A62" s="3">
        <v>60</v>
      </c>
      <c r="B62" s="4">
        <v>44294.700821759259</v>
      </c>
      <c r="C62">
        <v>0.14000000000000001</v>
      </c>
      <c r="D62">
        <v>0</v>
      </c>
      <c r="E62">
        <v>0</v>
      </c>
      <c r="F62">
        <v>305</v>
      </c>
      <c r="G62">
        <v>0</v>
      </c>
      <c r="H62">
        <v>0.12500875</v>
      </c>
      <c r="I62">
        <v>365</v>
      </c>
    </row>
    <row r="63" spans="1:16" x14ac:dyDescent="0.2">
      <c r="A63" s="3">
        <v>61</v>
      </c>
      <c r="B63" s="4">
        <v>44294.700821759259</v>
      </c>
      <c r="C63">
        <v>0.12</v>
      </c>
      <c r="D63">
        <v>0</v>
      </c>
      <c r="E63">
        <v>0</v>
      </c>
      <c r="F63">
        <v>325</v>
      </c>
      <c r="G63">
        <v>0</v>
      </c>
      <c r="H63">
        <v>0.12500875</v>
      </c>
      <c r="I63">
        <v>370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/>
  <dimension ref="A1:P48"/>
  <sheetViews>
    <sheetView workbookViewId="0"/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44272.624652777777</v>
      </c>
      <c r="C2">
        <v>120.5</v>
      </c>
      <c r="D2">
        <v>138.6</v>
      </c>
      <c r="E2">
        <v>142.75</v>
      </c>
      <c r="F2">
        <v>4</v>
      </c>
      <c r="G2">
        <v>4</v>
      </c>
      <c r="H2">
        <v>0.95922892333984366</v>
      </c>
      <c r="I2">
        <v>115</v>
      </c>
      <c r="J2" s="4">
        <v>44285.825173611112</v>
      </c>
      <c r="K2">
        <v>0.28999999999999998</v>
      </c>
      <c r="L2">
        <v>0.12</v>
      </c>
      <c r="M2">
        <v>0.21</v>
      </c>
      <c r="N2">
        <v>2</v>
      </c>
      <c r="O2">
        <v>275</v>
      </c>
      <c r="P2">
        <v>0.64844101562500001</v>
      </c>
    </row>
    <row r="3" spans="1:16" x14ac:dyDescent="0.2">
      <c r="A3" s="3">
        <v>1</v>
      </c>
      <c r="B3" s="4">
        <v>44239.851435185177</v>
      </c>
      <c r="C3">
        <v>124.22</v>
      </c>
      <c r="D3">
        <v>115.45</v>
      </c>
      <c r="E3">
        <v>116.75</v>
      </c>
      <c r="F3">
        <v>3</v>
      </c>
      <c r="G3">
        <v>21</v>
      </c>
      <c r="H3">
        <v>1.0000000000000001E-5</v>
      </c>
      <c r="I3">
        <v>120</v>
      </c>
      <c r="J3" s="4">
        <v>44277.786064814813</v>
      </c>
      <c r="K3">
        <v>0.21</v>
      </c>
      <c r="L3">
        <v>0.11</v>
      </c>
      <c r="M3">
        <v>0.21</v>
      </c>
      <c r="N3">
        <v>1</v>
      </c>
      <c r="O3">
        <v>127</v>
      </c>
      <c r="P3">
        <v>0.61426166992187503</v>
      </c>
    </row>
    <row r="4" spans="1:16" x14ac:dyDescent="0.2">
      <c r="A4" s="3">
        <v>2</v>
      </c>
      <c r="B4" s="4">
        <v>44263.654236111113</v>
      </c>
      <c r="C4">
        <v>107.94</v>
      </c>
      <c r="D4">
        <v>120.6</v>
      </c>
      <c r="E4">
        <v>125.2</v>
      </c>
      <c r="F4">
        <v>14</v>
      </c>
      <c r="G4">
        <v>6</v>
      </c>
      <c r="H4">
        <v>1.0000000000000001E-5</v>
      </c>
      <c r="I4">
        <v>125</v>
      </c>
      <c r="J4" s="4">
        <v>44293.67900462963</v>
      </c>
      <c r="K4">
        <v>0.24</v>
      </c>
      <c r="L4">
        <v>0.04</v>
      </c>
      <c r="M4">
        <v>0.27</v>
      </c>
      <c r="N4">
        <v>1</v>
      </c>
      <c r="O4">
        <v>209</v>
      </c>
      <c r="P4">
        <v>0.58105887695312508</v>
      </c>
    </row>
    <row r="5" spans="1:16" x14ac:dyDescent="0.2">
      <c r="A5" s="3">
        <v>3</v>
      </c>
      <c r="B5" s="4">
        <v>44256.871319444443</v>
      </c>
      <c r="C5">
        <v>107.5</v>
      </c>
      <c r="D5">
        <v>104</v>
      </c>
      <c r="E5">
        <v>108.95</v>
      </c>
      <c r="F5">
        <v>3</v>
      </c>
      <c r="G5">
        <v>12</v>
      </c>
      <c r="H5">
        <v>1.0000000000000001E-5</v>
      </c>
      <c r="I5">
        <v>130</v>
      </c>
      <c r="J5" s="4">
        <v>44286.607905092591</v>
      </c>
      <c r="K5">
        <v>0.28000000000000003</v>
      </c>
      <c r="L5">
        <v>0.08</v>
      </c>
      <c r="M5">
        <v>0.31</v>
      </c>
      <c r="N5">
        <v>1</v>
      </c>
      <c r="O5">
        <v>266</v>
      </c>
      <c r="P5">
        <v>0.56836369140624998</v>
      </c>
    </row>
    <row r="6" spans="1:16" x14ac:dyDescent="0.2">
      <c r="A6" s="3">
        <v>4</v>
      </c>
      <c r="B6" s="4">
        <v>44243.672442129631</v>
      </c>
      <c r="C6">
        <v>109.06</v>
      </c>
      <c r="D6">
        <v>97.75</v>
      </c>
      <c r="E6">
        <v>98.25</v>
      </c>
      <c r="F6">
        <v>55</v>
      </c>
      <c r="G6">
        <v>73</v>
      </c>
      <c r="H6">
        <v>1.0000000000000001E-5</v>
      </c>
      <c r="I6">
        <v>135</v>
      </c>
      <c r="J6" s="4">
        <v>44295.611932870372</v>
      </c>
      <c r="K6">
        <v>0.32</v>
      </c>
      <c r="L6">
        <v>0.13</v>
      </c>
      <c r="M6">
        <v>0.34</v>
      </c>
      <c r="N6">
        <v>1</v>
      </c>
      <c r="O6">
        <v>166</v>
      </c>
      <c r="P6">
        <v>0.55273884765625003</v>
      </c>
    </row>
    <row r="7" spans="1:16" x14ac:dyDescent="0.2">
      <c r="A7" s="3">
        <v>5</v>
      </c>
      <c r="B7" s="4">
        <v>44293.789155092592</v>
      </c>
      <c r="C7">
        <v>110.5</v>
      </c>
      <c r="D7">
        <v>113.8</v>
      </c>
      <c r="E7">
        <v>117.95</v>
      </c>
      <c r="F7">
        <v>9</v>
      </c>
      <c r="G7">
        <v>700</v>
      </c>
      <c r="H7">
        <v>0.76758044921875013</v>
      </c>
      <c r="I7">
        <v>140</v>
      </c>
      <c r="J7" s="4">
        <v>44295.613263888888</v>
      </c>
      <c r="K7">
        <v>0.35</v>
      </c>
      <c r="L7">
        <v>0.25</v>
      </c>
      <c r="M7">
        <v>0.38</v>
      </c>
      <c r="N7">
        <v>1</v>
      </c>
      <c r="O7">
        <v>377</v>
      </c>
      <c r="P7">
        <v>0.54590297851562508</v>
      </c>
    </row>
    <row r="8" spans="1:16" x14ac:dyDescent="0.2">
      <c r="A8" s="3">
        <v>6</v>
      </c>
      <c r="B8" s="4">
        <v>44281.657349537039</v>
      </c>
      <c r="C8">
        <v>89.51</v>
      </c>
      <c r="D8">
        <v>108.8</v>
      </c>
      <c r="E8">
        <v>112.95</v>
      </c>
      <c r="F8">
        <v>1</v>
      </c>
      <c r="G8">
        <v>191</v>
      </c>
      <c r="H8">
        <v>0.72961696166992196</v>
      </c>
      <c r="I8">
        <v>145</v>
      </c>
      <c r="J8" s="4">
        <v>44291.57608796296</v>
      </c>
      <c r="K8">
        <v>0.44</v>
      </c>
      <c r="L8">
        <v>0.27</v>
      </c>
      <c r="M8">
        <v>0.42</v>
      </c>
      <c r="N8">
        <v>1</v>
      </c>
      <c r="O8">
        <v>439</v>
      </c>
      <c r="P8">
        <v>0.52441881835937498</v>
      </c>
    </row>
    <row r="9" spans="1:16" x14ac:dyDescent="0.2">
      <c r="A9" s="3">
        <v>7</v>
      </c>
      <c r="B9" s="4">
        <v>44293.812372685177</v>
      </c>
      <c r="C9">
        <v>99.5</v>
      </c>
      <c r="D9">
        <v>103.9</v>
      </c>
      <c r="E9">
        <v>108</v>
      </c>
      <c r="F9">
        <v>1</v>
      </c>
      <c r="G9">
        <v>333</v>
      </c>
      <c r="H9">
        <v>0.69653623779296892</v>
      </c>
      <c r="I9">
        <v>150</v>
      </c>
      <c r="J9" s="4">
        <v>44292.786111111112</v>
      </c>
      <c r="K9">
        <v>0.47</v>
      </c>
      <c r="L9">
        <v>0.32</v>
      </c>
      <c r="M9">
        <v>0.47</v>
      </c>
      <c r="N9">
        <v>7</v>
      </c>
      <c r="O9">
        <v>901</v>
      </c>
      <c r="P9">
        <v>0.50635259277343747</v>
      </c>
    </row>
    <row r="10" spans="1:16" x14ac:dyDescent="0.2">
      <c r="A10" s="3">
        <v>8</v>
      </c>
      <c r="B10" s="4">
        <v>44285.601018518522</v>
      </c>
      <c r="C10">
        <v>96.8</v>
      </c>
      <c r="D10">
        <v>98.8</v>
      </c>
      <c r="E10">
        <v>103.05</v>
      </c>
      <c r="F10">
        <v>10</v>
      </c>
      <c r="G10">
        <v>271</v>
      </c>
      <c r="H10">
        <v>0.66430999755859399</v>
      </c>
      <c r="I10">
        <v>155</v>
      </c>
      <c r="J10" s="4">
        <v>44292.816435185188</v>
      </c>
      <c r="K10">
        <v>0.5</v>
      </c>
      <c r="L10">
        <v>0.37</v>
      </c>
      <c r="M10">
        <v>0.52</v>
      </c>
      <c r="N10">
        <v>1</v>
      </c>
      <c r="O10">
        <v>572</v>
      </c>
      <c r="P10">
        <v>0.50049327636718755</v>
      </c>
    </row>
    <row r="11" spans="1:16" x14ac:dyDescent="0.2">
      <c r="A11" s="3">
        <v>9</v>
      </c>
      <c r="B11" s="4">
        <v>44292.564340277779</v>
      </c>
      <c r="C11">
        <v>88.15</v>
      </c>
      <c r="D11">
        <v>94</v>
      </c>
      <c r="E11">
        <v>98.1</v>
      </c>
      <c r="F11">
        <v>1</v>
      </c>
      <c r="G11">
        <v>144</v>
      </c>
      <c r="H11">
        <v>0.63281617187500006</v>
      </c>
      <c r="I11">
        <v>160</v>
      </c>
      <c r="J11" s="4">
        <v>44293.79146990741</v>
      </c>
      <c r="K11">
        <v>0.56999999999999995</v>
      </c>
      <c r="L11">
        <v>0.5</v>
      </c>
      <c r="M11">
        <v>0.56000000000000005</v>
      </c>
      <c r="N11">
        <v>30</v>
      </c>
      <c r="O11">
        <v>1376</v>
      </c>
      <c r="P11">
        <v>0.47852083984374999</v>
      </c>
    </row>
    <row r="12" spans="1:16" x14ac:dyDescent="0.2">
      <c r="A12" s="3">
        <v>10</v>
      </c>
      <c r="B12" s="4">
        <v>44292.679212962961</v>
      </c>
      <c r="C12">
        <v>84.75</v>
      </c>
      <c r="D12">
        <v>0</v>
      </c>
      <c r="E12">
        <v>0</v>
      </c>
      <c r="F12">
        <v>1</v>
      </c>
      <c r="G12">
        <v>0</v>
      </c>
      <c r="H12">
        <v>1.0000000000000001E-5</v>
      </c>
      <c r="I12">
        <v>165</v>
      </c>
      <c r="J12" s="4">
        <v>44294.814699074072</v>
      </c>
      <c r="K12">
        <v>0.62</v>
      </c>
      <c r="L12">
        <v>0.37</v>
      </c>
      <c r="M12">
        <v>0.64</v>
      </c>
      <c r="N12">
        <v>10</v>
      </c>
      <c r="O12">
        <v>1041</v>
      </c>
      <c r="P12">
        <v>0.46167530517578131</v>
      </c>
    </row>
    <row r="13" spans="1:16" x14ac:dyDescent="0.2">
      <c r="A13" s="3">
        <v>11</v>
      </c>
      <c r="B13" s="4">
        <v>44280.77621527778</v>
      </c>
      <c r="C13">
        <v>78.2</v>
      </c>
      <c r="D13">
        <v>84</v>
      </c>
      <c r="E13">
        <v>88.25</v>
      </c>
      <c r="F13">
        <v>1</v>
      </c>
      <c r="G13">
        <v>156</v>
      </c>
      <c r="H13">
        <v>0.57458921508789063</v>
      </c>
      <c r="I13">
        <v>170</v>
      </c>
      <c r="J13" s="4">
        <v>44295.725312499999</v>
      </c>
      <c r="K13">
        <v>0.66</v>
      </c>
      <c r="L13">
        <v>0.56000000000000005</v>
      </c>
      <c r="M13">
        <v>0.71</v>
      </c>
      <c r="N13">
        <v>2</v>
      </c>
      <c r="O13">
        <v>1732</v>
      </c>
      <c r="P13">
        <v>0.44263252685546878</v>
      </c>
    </row>
    <row r="14" spans="1:16" x14ac:dyDescent="0.2">
      <c r="A14" s="3">
        <v>12</v>
      </c>
      <c r="B14" s="4">
        <v>44291.816284722219</v>
      </c>
      <c r="C14">
        <v>78.87</v>
      </c>
      <c r="D14">
        <v>79.349999999999994</v>
      </c>
      <c r="E14">
        <v>83.3</v>
      </c>
      <c r="F14">
        <v>20</v>
      </c>
      <c r="G14">
        <v>98</v>
      </c>
      <c r="H14">
        <v>0.54456021850585934</v>
      </c>
      <c r="I14">
        <v>175</v>
      </c>
      <c r="J14" s="4">
        <v>44295.817835648151</v>
      </c>
      <c r="K14">
        <v>0.71</v>
      </c>
      <c r="L14">
        <v>0.64</v>
      </c>
      <c r="M14">
        <v>0.8</v>
      </c>
      <c r="N14">
        <v>2</v>
      </c>
      <c r="O14">
        <v>1727</v>
      </c>
      <c r="P14">
        <v>0.42517664672851557</v>
      </c>
    </row>
    <row r="15" spans="1:16" x14ac:dyDescent="0.2">
      <c r="A15" s="3">
        <v>13</v>
      </c>
      <c r="B15" s="4">
        <v>44287.606747685182</v>
      </c>
      <c r="C15">
        <v>73.489999999999995</v>
      </c>
      <c r="D15">
        <v>74.2</v>
      </c>
      <c r="E15">
        <v>78.400000000000006</v>
      </c>
      <c r="F15">
        <v>1</v>
      </c>
      <c r="G15">
        <v>88</v>
      </c>
      <c r="H15">
        <v>0.51770501831054694</v>
      </c>
      <c r="I15">
        <v>180</v>
      </c>
      <c r="J15" s="4">
        <v>44294.795289351852</v>
      </c>
      <c r="K15">
        <v>0.85</v>
      </c>
      <c r="L15">
        <v>0.7</v>
      </c>
      <c r="M15">
        <v>0.88</v>
      </c>
      <c r="N15">
        <v>3</v>
      </c>
      <c r="O15">
        <v>2951</v>
      </c>
      <c r="P15">
        <v>0.40601179931640619</v>
      </c>
    </row>
    <row r="16" spans="1:16" x14ac:dyDescent="0.2">
      <c r="A16" s="3">
        <v>14</v>
      </c>
      <c r="B16" s="4">
        <v>44293.777696759258</v>
      </c>
      <c r="C16">
        <v>68.64</v>
      </c>
      <c r="D16">
        <v>69.2</v>
      </c>
      <c r="E16">
        <v>73.5</v>
      </c>
      <c r="F16">
        <v>1</v>
      </c>
      <c r="G16">
        <v>61</v>
      </c>
      <c r="H16">
        <v>0.49097188720703128</v>
      </c>
      <c r="I16">
        <v>185</v>
      </c>
      <c r="J16" s="4">
        <v>44295.685567129629</v>
      </c>
      <c r="K16">
        <v>0.94</v>
      </c>
      <c r="L16">
        <v>0.87</v>
      </c>
      <c r="M16">
        <v>0.99</v>
      </c>
      <c r="N16">
        <v>15</v>
      </c>
      <c r="O16">
        <v>876</v>
      </c>
      <c r="P16">
        <v>0.38867798828125</v>
      </c>
    </row>
    <row r="17" spans="1:16" x14ac:dyDescent="0.2">
      <c r="A17" s="3">
        <v>15</v>
      </c>
      <c r="B17" s="4">
        <v>44294.82608796296</v>
      </c>
      <c r="C17">
        <v>64.44</v>
      </c>
      <c r="D17">
        <v>64.95</v>
      </c>
      <c r="E17">
        <v>68.599999999999994</v>
      </c>
      <c r="F17">
        <v>47</v>
      </c>
      <c r="G17">
        <v>778</v>
      </c>
      <c r="H17">
        <v>0.46436082519531252</v>
      </c>
      <c r="I17">
        <v>190</v>
      </c>
      <c r="J17" s="4">
        <v>44295.697141203702</v>
      </c>
      <c r="K17">
        <v>1.07</v>
      </c>
      <c r="L17">
        <v>1</v>
      </c>
      <c r="M17">
        <v>1.25</v>
      </c>
      <c r="N17">
        <v>3</v>
      </c>
      <c r="O17">
        <v>3017</v>
      </c>
      <c r="P17">
        <v>0.38098763549804682</v>
      </c>
    </row>
    <row r="18" spans="1:16" x14ac:dyDescent="0.2">
      <c r="A18" s="3">
        <v>16</v>
      </c>
      <c r="B18" s="4">
        <v>44291.714016203703</v>
      </c>
      <c r="C18">
        <v>56.35</v>
      </c>
      <c r="D18">
        <v>61.3</v>
      </c>
      <c r="E18">
        <v>63.25</v>
      </c>
      <c r="F18">
        <v>4</v>
      </c>
      <c r="G18">
        <v>1367</v>
      </c>
      <c r="H18">
        <v>0.41693698303222648</v>
      </c>
      <c r="I18">
        <v>195</v>
      </c>
      <c r="J18" s="4">
        <v>44295.817106481481</v>
      </c>
      <c r="K18">
        <v>1.25</v>
      </c>
      <c r="L18">
        <v>1.07</v>
      </c>
      <c r="M18">
        <v>1.24</v>
      </c>
      <c r="N18">
        <v>20</v>
      </c>
      <c r="O18">
        <v>1971</v>
      </c>
      <c r="P18">
        <v>0.35327795166015619</v>
      </c>
    </row>
    <row r="19" spans="1:16" x14ac:dyDescent="0.2">
      <c r="A19" s="3">
        <v>17</v>
      </c>
      <c r="B19" s="4">
        <v>44295.812476851846</v>
      </c>
      <c r="C19">
        <v>56.25</v>
      </c>
      <c r="D19">
        <v>56.45</v>
      </c>
      <c r="E19">
        <v>58.9</v>
      </c>
      <c r="F19">
        <v>1</v>
      </c>
      <c r="G19">
        <v>646</v>
      </c>
      <c r="H19">
        <v>0.41528905029296881</v>
      </c>
      <c r="I19">
        <v>200</v>
      </c>
      <c r="J19" s="4">
        <v>44295.825416666667</v>
      </c>
      <c r="K19">
        <v>1.41</v>
      </c>
      <c r="L19">
        <v>1.28</v>
      </c>
      <c r="M19">
        <v>1.41</v>
      </c>
      <c r="N19">
        <v>50</v>
      </c>
      <c r="O19">
        <v>2569</v>
      </c>
      <c r="P19">
        <v>0.33692069335937502</v>
      </c>
    </row>
    <row r="20" spans="1:16" x14ac:dyDescent="0.2">
      <c r="A20" s="3">
        <v>18</v>
      </c>
      <c r="B20" s="4">
        <v>44295.820428240739</v>
      </c>
      <c r="C20">
        <v>51.8</v>
      </c>
      <c r="D20">
        <v>51.8</v>
      </c>
      <c r="E20">
        <v>54.05</v>
      </c>
      <c r="F20">
        <v>14</v>
      </c>
      <c r="G20">
        <v>819</v>
      </c>
      <c r="H20">
        <v>0.39032592102050778</v>
      </c>
      <c r="I20">
        <v>205</v>
      </c>
      <c r="J20" s="4">
        <v>44295.699733796297</v>
      </c>
      <c r="K20">
        <v>1.71</v>
      </c>
      <c r="L20">
        <v>1.52</v>
      </c>
      <c r="M20">
        <v>1.67</v>
      </c>
      <c r="N20">
        <v>3</v>
      </c>
      <c r="O20">
        <v>851</v>
      </c>
      <c r="P20">
        <v>0.32385930053710932</v>
      </c>
    </row>
    <row r="21" spans="1:16" x14ac:dyDescent="0.2">
      <c r="A21" s="3">
        <v>19</v>
      </c>
      <c r="B21" s="4">
        <v>44295.757476851853</v>
      </c>
      <c r="C21">
        <v>46.5</v>
      </c>
      <c r="D21">
        <v>47</v>
      </c>
      <c r="E21">
        <v>49.4</v>
      </c>
      <c r="F21">
        <v>7</v>
      </c>
      <c r="G21">
        <v>884</v>
      </c>
      <c r="H21">
        <v>0.37213762634277348</v>
      </c>
      <c r="I21">
        <v>210</v>
      </c>
      <c r="J21" s="4">
        <v>44295.670532407406</v>
      </c>
      <c r="K21">
        <v>2.02</v>
      </c>
      <c r="L21">
        <v>1.81</v>
      </c>
      <c r="M21">
        <v>2.0499999999999998</v>
      </c>
      <c r="N21">
        <v>25</v>
      </c>
      <c r="O21">
        <v>1969</v>
      </c>
      <c r="P21">
        <v>0.3139717041015625</v>
      </c>
    </row>
    <row r="22" spans="1:16" x14ac:dyDescent="0.2">
      <c r="A22" s="3">
        <v>20</v>
      </c>
      <c r="B22" s="4">
        <v>44295.821458333332</v>
      </c>
      <c r="C22">
        <v>42.38</v>
      </c>
      <c r="D22">
        <v>42.45</v>
      </c>
      <c r="E22">
        <v>43.45</v>
      </c>
      <c r="F22">
        <v>32</v>
      </c>
      <c r="G22">
        <v>1450</v>
      </c>
      <c r="H22">
        <v>0.30725790405273429</v>
      </c>
      <c r="I22">
        <v>215</v>
      </c>
      <c r="J22" s="4">
        <v>44295.77584490741</v>
      </c>
      <c r="K22">
        <v>2.44</v>
      </c>
      <c r="L22">
        <v>2.14</v>
      </c>
      <c r="M22">
        <v>2.38</v>
      </c>
      <c r="N22">
        <v>9</v>
      </c>
      <c r="O22">
        <v>1473</v>
      </c>
      <c r="P22">
        <v>0.29907927490234371</v>
      </c>
    </row>
    <row r="23" spans="1:16" x14ac:dyDescent="0.2">
      <c r="A23" s="3">
        <v>21</v>
      </c>
      <c r="B23" s="4">
        <v>44295.819907407407</v>
      </c>
      <c r="C23">
        <v>37.950000000000003</v>
      </c>
      <c r="D23">
        <v>38.1</v>
      </c>
      <c r="E23">
        <v>38.9</v>
      </c>
      <c r="F23">
        <v>15</v>
      </c>
      <c r="G23">
        <v>1762</v>
      </c>
      <c r="H23">
        <v>0.29358616577148428</v>
      </c>
      <c r="I23">
        <v>220</v>
      </c>
      <c r="J23" s="4">
        <v>44295.826747685183</v>
      </c>
      <c r="K23">
        <v>2.82</v>
      </c>
      <c r="L23">
        <v>2.69</v>
      </c>
      <c r="M23">
        <v>2.86</v>
      </c>
      <c r="N23">
        <v>274</v>
      </c>
      <c r="O23">
        <v>3163</v>
      </c>
      <c r="P23">
        <v>0.28736064208984369</v>
      </c>
    </row>
    <row r="24" spans="1:16" x14ac:dyDescent="0.2">
      <c r="A24" s="3">
        <v>22</v>
      </c>
      <c r="B24" s="4">
        <v>44295.740694444437</v>
      </c>
      <c r="C24">
        <v>33.93</v>
      </c>
      <c r="D24">
        <v>33.6</v>
      </c>
      <c r="E24">
        <v>34.450000000000003</v>
      </c>
      <c r="F24">
        <v>14</v>
      </c>
      <c r="G24">
        <v>880</v>
      </c>
      <c r="H24">
        <v>0.28034166931152338</v>
      </c>
      <c r="I24">
        <v>225</v>
      </c>
      <c r="J24" s="4">
        <v>44295.815254629633</v>
      </c>
      <c r="K24">
        <v>3.5</v>
      </c>
      <c r="L24">
        <v>3.35</v>
      </c>
      <c r="M24">
        <v>3.6</v>
      </c>
      <c r="N24">
        <v>107</v>
      </c>
      <c r="O24">
        <v>2168</v>
      </c>
      <c r="P24">
        <v>0.28052477294921868</v>
      </c>
    </row>
    <row r="25" spans="1:16" x14ac:dyDescent="0.2">
      <c r="A25" s="3">
        <v>23</v>
      </c>
      <c r="B25" s="4">
        <v>44295.828356481477</v>
      </c>
      <c r="C25">
        <v>29.9</v>
      </c>
      <c r="D25">
        <v>29.5</v>
      </c>
      <c r="E25">
        <v>30.25</v>
      </c>
      <c r="F25">
        <v>282</v>
      </c>
      <c r="G25">
        <v>8642</v>
      </c>
      <c r="H25">
        <v>0.2709728665161133</v>
      </c>
      <c r="I25">
        <v>230</v>
      </c>
      <c r="J25" s="4">
        <v>44295.81523148148</v>
      </c>
      <c r="K25">
        <v>4.3499999999999996</v>
      </c>
      <c r="L25">
        <v>4.1500000000000004</v>
      </c>
      <c r="M25">
        <v>4.3499999999999996</v>
      </c>
      <c r="N25">
        <v>223</v>
      </c>
      <c r="O25">
        <v>2237</v>
      </c>
      <c r="P25">
        <v>0.26978269287109369</v>
      </c>
    </row>
    <row r="26" spans="1:16" x14ac:dyDescent="0.2">
      <c r="A26" s="3">
        <v>24</v>
      </c>
      <c r="B26" s="4">
        <v>44295.831828703696</v>
      </c>
      <c r="C26">
        <v>25.7</v>
      </c>
      <c r="D26">
        <v>25.5</v>
      </c>
      <c r="E26">
        <v>26.25</v>
      </c>
      <c r="F26">
        <v>24</v>
      </c>
      <c r="G26">
        <v>1767</v>
      </c>
      <c r="H26">
        <v>0.26251958190917968</v>
      </c>
      <c r="I26">
        <v>235</v>
      </c>
      <c r="J26" s="4">
        <v>44295.824907407397</v>
      </c>
      <c r="K26">
        <v>5.46</v>
      </c>
      <c r="L26">
        <v>5.15</v>
      </c>
      <c r="M26">
        <v>5.4</v>
      </c>
      <c r="N26">
        <v>21</v>
      </c>
      <c r="O26">
        <v>2873</v>
      </c>
      <c r="P26">
        <v>0.26270268554687498</v>
      </c>
    </row>
    <row r="27" spans="1:16" x14ac:dyDescent="0.2">
      <c r="A27" s="3">
        <v>25</v>
      </c>
      <c r="B27" s="4">
        <v>44295.830416666657</v>
      </c>
      <c r="C27">
        <v>22</v>
      </c>
      <c r="D27">
        <v>21.95</v>
      </c>
      <c r="E27">
        <v>22.4</v>
      </c>
      <c r="F27">
        <v>48</v>
      </c>
      <c r="G27">
        <v>13544</v>
      </c>
      <c r="H27">
        <v>0.25312026184082043</v>
      </c>
      <c r="I27">
        <v>240</v>
      </c>
      <c r="J27" s="4">
        <v>44295.826643518521</v>
      </c>
      <c r="K27">
        <v>6.55</v>
      </c>
      <c r="L27">
        <v>6.45</v>
      </c>
      <c r="M27">
        <v>6.7</v>
      </c>
      <c r="N27">
        <v>24</v>
      </c>
      <c r="O27">
        <v>2225</v>
      </c>
      <c r="P27">
        <v>0.25653819641113279</v>
      </c>
    </row>
    <row r="28" spans="1:16" x14ac:dyDescent="0.2">
      <c r="A28" s="3">
        <v>26</v>
      </c>
      <c r="B28" s="4">
        <v>44295.817442129628</v>
      </c>
      <c r="C28">
        <v>18.8</v>
      </c>
      <c r="D28">
        <v>18.45</v>
      </c>
      <c r="E28">
        <v>19.05</v>
      </c>
      <c r="F28">
        <v>140</v>
      </c>
      <c r="G28">
        <v>1770</v>
      </c>
      <c r="H28">
        <v>0.2494276718139648</v>
      </c>
      <c r="I28">
        <v>245</v>
      </c>
      <c r="J28" s="4">
        <v>44295.832268518519</v>
      </c>
      <c r="K28">
        <v>8.1</v>
      </c>
      <c r="L28">
        <v>8</v>
      </c>
      <c r="M28">
        <v>8.25</v>
      </c>
      <c r="N28">
        <v>46</v>
      </c>
      <c r="O28">
        <v>483</v>
      </c>
      <c r="P28">
        <v>0.25058732818603507</v>
      </c>
    </row>
    <row r="29" spans="1:16" x14ac:dyDescent="0.2">
      <c r="A29" s="3">
        <v>27</v>
      </c>
      <c r="B29" s="4">
        <v>44295.826620370368</v>
      </c>
      <c r="C29">
        <v>15.52</v>
      </c>
      <c r="D29">
        <v>15.45</v>
      </c>
      <c r="E29">
        <v>15.8</v>
      </c>
      <c r="F29">
        <v>135</v>
      </c>
      <c r="G29">
        <v>2604</v>
      </c>
      <c r="H29">
        <v>0.24225611267089839</v>
      </c>
      <c r="I29">
        <v>250</v>
      </c>
      <c r="J29" s="4">
        <v>44295.831875000003</v>
      </c>
      <c r="K29">
        <v>10</v>
      </c>
      <c r="L29">
        <v>9.85</v>
      </c>
      <c r="M29">
        <v>10.1</v>
      </c>
      <c r="N29">
        <v>117</v>
      </c>
      <c r="O29">
        <v>453</v>
      </c>
      <c r="P29">
        <v>0.24530783996582031</v>
      </c>
    </row>
    <row r="30" spans="1:16" x14ac:dyDescent="0.2">
      <c r="A30" s="3">
        <v>28</v>
      </c>
      <c r="B30" s="4">
        <v>44295.83253472222</v>
      </c>
      <c r="C30">
        <v>12.85</v>
      </c>
      <c r="D30">
        <v>12.8</v>
      </c>
      <c r="E30">
        <v>13.15</v>
      </c>
      <c r="F30">
        <v>241</v>
      </c>
      <c r="G30">
        <v>4227</v>
      </c>
      <c r="H30">
        <v>0.24100490447998049</v>
      </c>
      <c r="I30">
        <v>255</v>
      </c>
      <c r="J30" s="4">
        <v>44295.826562499999</v>
      </c>
      <c r="K30">
        <v>12.4</v>
      </c>
      <c r="L30">
        <v>12.1</v>
      </c>
      <c r="M30">
        <v>12.35</v>
      </c>
      <c r="N30">
        <v>136</v>
      </c>
      <c r="O30">
        <v>336</v>
      </c>
      <c r="P30">
        <v>0.24207300903320311</v>
      </c>
    </row>
    <row r="31" spans="1:16" x14ac:dyDescent="0.2">
      <c r="A31" s="3">
        <v>29</v>
      </c>
      <c r="B31" s="4">
        <v>44295.830393518518</v>
      </c>
      <c r="C31">
        <v>10.4</v>
      </c>
      <c r="D31">
        <v>10.25</v>
      </c>
      <c r="E31">
        <v>10.65</v>
      </c>
      <c r="F31">
        <v>152</v>
      </c>
      <c r="G31">
        <v>9876</v>
      </c>
      <c r="H31">
        <v>0.23673248626708979</v>
      </c>
      <c r="I31">
        <v>260</v>
      </c>
      <c r="J31" s="4">
        <v>44295.829224537039</v>
      </c>
      <c r="K31">
        <v>15.17</v>
      </c>
      <c r="L31">
        <v>14.45</v>
      </c>
      <c r="M31">
        <v>14.95</v>
      </c>
      <c r="N31">
        <v>40</v>
      </c>
      <c r="O31">
        <v>85</v>
      </c>
      <c r="P31">
        <v>0.239692661743164</v>
      </c>
    </row>
    <row r="32" spans="1:16" x14ac:dyDescent="0.2">
      <c r="A32" s="3">
        <v>30</v>
      </c>
      <c r="B32" s="4">
        <v>44295.792430555557</v>
      </c>
      <c r="C32">
        <v>8.0500000000000007</v>
      </c>
      <c r="D32">
        <v>8.1999999999999993</v>
      </c>
      <c r="E32">
        <v>8.65</v>
      </c>
      <c r="F32">
        <v>170</v>
      </c>
      <c r="G32">
        <v>3983</v>
      </c>
      <c r="H32">
        <v>0.2360916235351562</v>
      </c>
      <c r="I32">
        <v>265</v>
      </c>
      <c r="J32" s="4">
        <v>44295.829224537039</v>
      </c>
      <c r="K32">
        <v>18.11</v>
      </c>
      <c r="L32">
        <v>17.350000000000001</v>
      </c>
      <c r="M32">
        <v>17.850000000000001</v>
      </c>
      <c r="N32">
        <v>80</v>
      </c>
      <c r="O32">
        <v>104</v>
      </c>
      <c r="P32">
        <v>0.2372207626342773</v>
      </c>
    </row>
    <row r="33" spans="1:16" x14ac:dyDescent="0.2">
      <c r="A33" s="3">
        <v>31</v>
      </c>
      <c r="B33" s="4">
        <v>44295.825370370367</v>
      </c>
      <c r="C33">
        <v>6.65</v>
      </c>
      <c r="D33">
        <v>6.3</v>
      </c>
      <c r="E33">
        <v>6.85</v>
      </c>
      <c r="F33">
        <v>129</v>
      </c>
      <c r="G33">
        <v>3035</v>
      </c>
      <c r="H33">
        <v>0.23361972442626949</v>
      </c>
      <c r="I33">
        <v>270</v>
      </c>
      <c r="J33" s="4">
        <v>44295.563437500001</v>
      </c>
      <c r="K33">
        <v>23.1</v>
      </c>
      <c r="L33">
        <v>20.6</v>
      </c>
      <c r="M33">
        <v>21.2</v>
      </c>
      <c r="N33">
        <v>1</v>
      </c>
      <c r="O33">
        <v>106</v>
      </c>
      <c r="P33">
        <v>0.23783110809326169</v>
      </c>
    </row>
    <row r="34" spans="1:16" x14ac:dyDescent="0.2">
      <c r="A34" s="3">
        <v>32</v>
      </c>
      <c r="B34" s="4">
        <v>44295.81590277778</v>
      </c>
      <c r="C34">
        <v>4.99</v>
      </c>
      <c r="D34">
        <v>4.9000000000000004</v>
      </c>
      <c r="E34">
        <v>5.35</v>
      </c>
      <c r="F34">
        <v>317</v>
      </c>
      <c r="G34">
        <v>2928</v>
      </c>
      <c r="H34">
        <v>0.23151403259277339</v>
      </c>
      <c r="I34">
        <v>275</v>
      </c>
      <c r="J34" s="4">
        <v>44295.758634259262</v>
      </c>
      <c r="K34">
        <v>25.4</v>
      </c>
      <c r="L34">
        <v>24.2</v>
      </c>
      <c r="M34">
        <v>24.8</v>
      </c>
      <c r="N34">
        <v>2</v>
      </c>
      <c r="O34">
        <v>50</v>
      </c>
      <c r="P34">
        <v>0.23822783264160149</v>
      </c>
    </row>
    <row r="35" spans="1:16" x14ac:dyDescent="0.2">
      <c r="A35" s="3">
        <v>33</v>
      </c>
      <c r="B35" s="4">
        <v>44295.832407407397</v>
      </c>
      <c r="C35">
        <v>4.01</v>
      </c>
      <c r="D35">
        <v>3.9</v>
      </c>
      <c r="E35">
        <v>4.2</v>
      </c>
      <c r="F35">
        <v>120</v>
      </c>
      <c r="G35">
        <v>850</v>
      </c>
      <c r="H35">
        <v>0.2316361016845703</v>
      </c>
      <c r="I35">
        <v>280</v>
      </c>
      <c r="J35" s="4">
        <v>44295.603460648148</v>
      </c>
      <c r="K35">
        <v>29.75</v>
      </c>
      <c r="L35">
        <v>27.95</v>
      </c>
      <c r="M35">
        <v>28.7</v>
      </c>
      <c r="N35">
        <v>2</v>
      </c>
      <c r="O35">
        <v>95</v>
      </c>
      <c r="P35">
        <v>0.24011990356445309</v>
      </c>
    </row>
    <row r="36" spans="1:16" x14ac:dyDescent="0.2">
      <c r="A36" s="3">
        <v>34</v>
      </c>
      <c r="B36" s="4">
        <v>44295.806956018518</v>
      </c>
      <c r="C36">
        <v>2.9</v>
      </c>
      <c r="D36">
        <v>2.97</v>
      </c>
      <c r="E36">
        <v>3.25</v>
      </c>
      <c r="F36">
        <v>3</v>
      </c>
      <c r="G36">
        <v>1396</v>
      </c>
      <c r="H36">
        <v>0.2313919635009766</v>
      </c>
      <c r="I36">
        <v>285</v>
      </c>
      <c r="J36" s="4">
        <v>44295.758634259262</v>
      </c>
      <c r="K36">
        <v>33.5</v>
      </c>
      <c r="L36">
        <v>32.1</v>
      </c>
      <c r="M36">
        <v>32.9</v>
      </c>
      <c r="N36">
        <v>2</v>
      </c>
      <c r="O36">
        <v>62</v>
      </c>
      <c r="P36">
        <v>0.2447585290527344</v>
      </c>
    </row>
    <row r="37" spans="1:16" x14ac:dyDescent="0.2">
      <c r="A37" s="3">
        <v>35</v>
      </c>
      <c r="B37" s="4">
        <v>44295.774907407409</v>
      </c>
      <c r="C37">
        <v>2.2000000000000002</v>
      </c>
      <c r="D37">
        <v>2.2999999999999998</v>
      </c>
      <c r="E37">
        <v>2.5</v>
      </c>
      <c r="F37">
        <v>22</v>
      </c>
      <c r="G37">
        <v>460</v>
      </c>
      <c r="H37">
        <v>0.2315750671386719</v>
      </c>
      <c r="I37">
        <v>290</v>
      </c>
      <c r="J37" s="4">
        <v>44284.625150462962</v>
      </c>
      <c r="K37">
        <v>38.700000000000003</v>
      </c>
      <c r="L37">
        <v>36.450000000000003</v>
      </c>
      <c r="M37">
        <v>37.200000000000003</v>
      </c>
      <c r="N37">
        <v>9</v>
      </c>
      <c r="O37">
        <v>72</v>
      </c>
      <c r="P37">
        <v>0.24805439453125</v>
      </c>
    </row>
    <row r="38" spans="1:16" x14ac:dyDescent="0.2">
      <c r="A38" s="3">
        <v>36</v>
      </c>
      <c r="B38" s="4">
        <v>44295.75273148148</v>
      </c>
      <c r="C38">
        <v>1.76</v>
      </c>
      <c r="D38">
        <v>1.77</v>
      </c>
      <c r="E38">
        <v>1.98</v>
      </c>
      <c r="F38">
        <v>18</v>
      </c>
      <c r="G38">
        <v>240</v>
      </c>
      <c r="H38">
        <v>0.23444369079589841</v>
      </c>
      <c r="I38">
        <v>295</v>
      </c>
      <c r="J38" s="4">
        <v>44294.569930555554</v>
      </c>
      <c r="K38">
        <v>43.95</v>
      </c>
      <c r="L38">
        <v>0</v>
      </c>
      <c r="M38">
        <v>0</v>
      </c>
      <c r="N38">
        <v>11</v>
      </c>
      <c r="O38">
        <v>0</v>
      </c>
      <c r="P38">
        <v>1.0000000000000001E-5</v>
      </c>
    </row>
    <row r="39" spans="1:16" x14ac:dyDescent="0.2">
      <c r="A39" s="3">
        <v>37</v>
      </c>
      <c r="B39" s="4">
        <v>44295.832800925928</v>
      </c>
      <c r="C39">
        <v>1.47</v>
      </c>
      <c r="D39">
        <v>1.38</v>
      </c>
      <c r="E39">
        <v>1.5</v>
      </c>
      <c r="F39">
        <v>34</v>
      </c>
      <c r="G39">
        <v>2300</v>
      </c>
      <c r="H39">
        <v>0.23456575988769529</v>
      </c>
      <c r="I39">
        <v>300</v>
      </c>
      <c r="J39" s="4">
        <v>44292.79277777778</v>
      </c>
      <c r="K39">
        <v>47.3</v>
      </c>
      <c r="L39">
        <v>45.45</v>
      </c>
      <c r="M39">
        <v>46.4</v>
      </c>
      <c r="N39">
        <v>5</v>
      </c>
      <c r="O39">
        <v>55</v>
      </c>
      <c r="P39">
        <v>0.26300785827636719</v>
      </c>
    </row>
    <row r="40" spans="1:16" x14ac:dyDescent="0.2">
      <c r="A40" s="3">
        <v>38</v>
      </c>
      <c r="B40" s="4">
        <v>44295.721516203703</v>
      </c>
      <c r="C40">
        <v>1.08</v>
      </c>
      <c r="D40">
        <v>1.08</v>
      </c>
      <c r="E40">
        <v>1.29</v>
      </c>
      <c r="F40">
        <v>17</v>
      </c>
      <c r="G40">
        <v>333</v>
      </c>
      <c r="H40">
        <v>0.2425002508544922</v>
      </c>
      <c r="I40">
        <v>305</v>
      </c>
      <c r="J40" s="4">
        <v>44294.626469907409</v>
      </c>
      <c r="K40">
        <v>53.5</v>
      </c>
      <c r="L40">
        <v>50.1</v>
      </c>
      <c r="M40">
        <v>51.15</v>
      </c>
      <c r="N40">
        <v>17</v>
      </c>
      <c r="O40">
        <v>91</v>
      </c>
      <c r="P40">
        <v>0.27222407470703119</v>
      </c>
    </row>
    <row r="41" spans="1:16" x14ac:dyDescent="0.2">
      <c r="A41" s="3">
        <v>39</v>
      </c>
      <c r="B41" s="4">
        <v>44295.634039351848</v>
      </c>
      <c r="C41">
        <v>0.85</v>
      </c>
      <c r="D41">
        <v>0.88</v>
      </c>
      <c r="E41">
        <v>1.03</v>
      </c>
      <c r="F41">
        <v>4</v>
      </c>
      <c r="G41">
        <v>238</v>
      </c>
      <c r="H41">
        <v>0.24561301269531249</v>
      </c>
      <c r="I41">
        <v>310</v>
      </c>
      <c r="J41" s="4">
        <v>44294.626469907409</v>
      </c>
      <c r="K41">
        <v>58.35</v>
      </c>
      <c r="L41">
        <v>54.9</v>
      </c>
      <c r="M41">
        <v>55.95</v>
      </c>
      <c r="N41">
        <v>4</v>
      </c>
      <c r="O41">
        <v>68</v>
      </c>
      <c r="P41">
        <v>0.28168442932128901</v>
      </c>
    </row>
    <row r="42" spans="1:16" x14ac:dyDescent="0.2">
      <c r="A42" s="3">
        <v>40</v>
      </c>
      <c r="B42" s="4">
        <v>44295.819733796299</v>
      </c>
      <c r="C42">
        <v>0.77</v>
      </c>
      <c r="D42">
        <v>0.7</v>
      </c>
      <c r="E42">
        <v>0.89</v>
      </c>
      <c r="F42">
        <v>3</v>
      </c>
      <c r="G42">
        <v>345</v>
      </c>
      <c r="H42">
        <v>0.25293715820312501</v>
      </c>
      <c r="I42">
        <v>315</v>
      </c>
      <c r="J42" s="4">
        <v>44266.789895833332</v>
      </c>
      <c r="K42">
        <v>77.900000000000006</v>
      </c>
      <c r="L42">
        <v>59.85</v>
      </c>
      <c r="M42">
        <v>60.8</v>
      </c>
      <c r="N42">
        <v>2</v>
      </c>
      <c r="O42">
        <v>46</v>
      </c>
      <c r="P42">
        <v>0.29181616394042947</v>
      </c>
    </row>
    <row r="43" spans="1:16" x14ac:dyDescent="0.2">
      <c r="A43" s="3">
        <v>41</v>
      </c>
      <c r="B43" s="4">
        <v>44292.706145833326</v>
      </c>
      <c r="C43">
        <v>0.57999999999999996</v>
      </c>
      <c r="D43">
        <v>0.56999999999999995</v>
      </c>
      <c r="E43">
        <v>0.7</v>
      </c>
      <c r="F43">
        <v>2</v>
      </c>
      <c r="G43">
        <v>1486</v>
      </c>
      <c r="H43">
        <v>0.25489026367187512</v>
      </c>
      <c r="I43">
        <v>320</v>
      </c>
      <c r="J43" s="4">
        <v>44295.692986111113</v>
      </c>
      <c r="K43">
        <v>66.5</v>
      </c>
      <c r="L43">
        <v>64.55</v>
      </c>
      <c r="M43">
        <v>65.650000000000006</v>
      </c>
      <c r="N43">
        <v>25</v>
      </c>
      <c r="O43">
        <v>115</v>
      </c>
      <c r="P43">
        <v>0.3007882421875</v>
      </c>
    </row>
    <row r="44" spans="1:16" x14ac:dyDescent="0.2">
      <c r="A44" s="3">
        <v>42</v>
      </c>
      <c r="B44" s="4">
        <v>44295.801805555559</v>
      </c>
      <c r="C44">
        <v>0.46</v>
      </c>
      <c r="D44">
        <v>0.4</v>
      </c>
      <c r="E44">
        <v>0.52</v>
      </c>
      <c r="F44">
        <v>8</v>
      </c>
      <c r="G44">
        <v>33</v>
      </c>
      <c r="H44">
        <v>0.26709717285156248</v>
      </c>
      <c r="I44">
        <v>330</v>
      </c>
    </row>
    <row r="45" spans="1:16" x14ac:dyDescent="0.2">
      <c r="A45" s="3">
        <v>43</v>
      </c>
      <c r="B45" s="4">
        <v>44295.831585648149</v>
      </c>
      <c r="C45">
        <v>0.36</v>
      </c>
      <c r="D45">
        <v>0.28999999999999998</v>
      </c>
      <c r="E45">
        <v>0.41</v>
      </c>
      <c r="F45">
        <v>3</v>
      </c>
      <c r="G45">
        <v>388</v>
      </c>
      <c r="H45">
        <v>0.28076891113281238</v>
      </c>
      <c r="I45">
        <v>340</v>
      </c>
      <c r="J45" s="4">
        <v>44294.60361111111</v>
      </c>
      <c r="K45">
        <v>87.65</v>
      </c>
      <c r="L45">
        <v>0</v>
      </c>
      <c r="M45">
        <v>0</v>
      </c>
      <c r="N45">
        <v>24</v>
      </c>
      <c r="O45">
        <v>0</v>
      </c>
      <c r="P45">
        <v>1.0000000000000001E-5</v>
      </c>
    </row>
    <row r="46" spans="1:16" x14ac:dyDescent="0.2">
      <c r="A46" s="3">
        <v>44</v>
      </c>
      <c r="B46" s="4">
        <v>44295.764791666668</v>
      </c>
      <c r="C46">
        <v>0.27</v>
      </c>
      <c r="D46">
        <v>0.22</v>
      </c>
      <c r="E46">
        <v>0.35</v>
      </c>
      <c r="F46">
        <v>12</v>
      </c>
      <c r="G46">
        <v>106</v>
      </c>
      <c r="H46">
        <v>0.2963937548828125</v>
      </c>
      <c r="I46">
        <v>350</v>
      </c>
      <c r="J46" s="4">
        <v>44295.770185185182</v>
      </c>
      <c r="K46">
        <v>96.2</v>
      </c>
      <c r="L46">
        <v>94.05</v>
      </c>
      <c r="M46">
        <v>95.35</v>
      </c>
      <c r="N46">
        <v>26</v>
      </c>
      <c r="O46">
        <v>10</v>
      </c>
      <c r="P46">
        <v>0.36902486450195321</v>
      </c>
    </row>
    <row r="47" spans="1:16" x14ac:dyDescent="0.2">
      <c r="A47" s="3">
        <v>45</v>
      </c>
      <c r="B47" s="4">
        <v>44295.725671296299</v>
      </c>
      <c r="C47">
        <v>0.26</v>
      </c>
      <c r="D47">
        <v>0.19</v>
      </c>
      <c r="E47">
        <v>0.31</v>
      </c>
      <c r="F47">
        <v>7</v>
      </c>
      <c r="G47">
        <v>933</v>
      </c>
      <c r="H47">
        <v>0.31250687500000002</v>
      </c>
      <c r="I47">
        <v>360</v>
      </c>
      <c r="J47" s="4">
        <v>44294.596608796302</v>
      </c>
      <c r="K47">
        <v>107.25</v>
      </c>
      <c r="L47">
        <v>0</v>
      </c>
      <c r="M47">
        <v>0</v>
      </c>
      <c r="N47">
        <v>8</v>
      </c>
      <c r="O47">
        <v>0</v>
      </c>
      <c r="P47">
        <v>1.0000000000000001E-5</v>
      </c>
    </row>
    <row r="48" spans="1:16" x14ac:dyDescent="0.2">
      <c r="A48" s="3">
        <v>46</v>
      </c>
      <c r="B48" s="4">
        <v>44294.811597222222</v>
      </c>
      <c r="C48">
        <v>0.24</v>
      </c>
      <c r="D48">
        <v>0</v>
      </c>
      <c r="E48">
        <v>0</v>
      </c>
      <c r="F48">
        <v>4</v>
      </c>
      <c r="G48">
        <v>0</v>
      </c>
      <c r="H48">
        <v>0.12500875</v>
      </c>
      <c r="I48">
        <v>370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1"/>
  <dimension ref="A1:P38"/>
  <sheetViews>
    <sheetView workbookViewId="0"/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44280.659143518518</v>
      </c>
      <c r="C2">
        <v>107.65</v>
      </c>
      <c r="D2">
        <v>128.94999999999999</v>
      </c>
      <c r="E2">
        <v>133.4</v>
      </c>
      <c r="G2">
        <v>8</v>
      </c>
      <c r="H2">
        <v>0.54932091308593767</v>
      </c>
      <c r="I2">
        <v>125</v>
      </c>
      <c r="J2" s="4">
        <v>44292.651979166672</v>
      </c>
      <c r="K2">
        <v>0.42</v>
      </c>
      <c r="L2">
        <v>0.28999999999999998</v>
      </c>
      <c r="M2">
        <v>0.44</v>
      </c>
      <c r="N2">
        <v>6</v>
      </c>
      <c r="O2">
        <v>17</v>
      </c>
      <c r="P2">
        <v>0.55957471679687498</v>
      </c>
    </row>
    <row r="3" spans="1:16" x14ac:dyDescent="0.2">
      <c r="A3" s="3">
        <v>1</v>
      </c>
      <c r="B3" s="4">
        <v>44252.638113425928</v>
      </c>
      <c r="C3">
        <v>94.49</v>
      </c>
      <c r="D3">
        <v>96.55</v>
      </c>
      <c r="E3">
        <v>98.2</v>
      </c>
      <c r="G3">
        <v>1</v>
      </c>
      <c r="H3">
        <v>1.0000000000000001E-5</v>
      </c>
      <c r="I3">
        <v>140</v>
      </c>
      <c r="J3" s="4">
        <v>44292.665960648148</v>
      </c>
      <c r="K3">
        <v>0.6</v>
      </c>
      <c r="L3">
        <v>0.47</v>
      </c>
      <c r="M3">
        <v>0.59</v>
      </c>
      <c r="N3">
        <v>3</v>
      </c>
      <c r="O3">
        <v>484</v>
      </c>
      <c r="P3">
        <v>0.5073291455078125</v>
      </c>
    </row>
    <row r="4" spans="1:16" x14ac:dyDescent="0.2">
      <c r="A4" s="3">
        <v>2</v>
      </c>
      <c r="B4" s="4">
        <v>44277.633344907408</v>
      </c>
      <c r="C4">
        <v>86.3</v>
      </c>
      <c r="D4">
        <v>104.25</v>
      </c>
      <c r="E4">
        <v>108.5</v>
      </c>
      <c r="F4">
        <v>3</v>
      </c>
      <c r="G4">
        <v>2</v>
      </c>
      <c r="H4">
        <v>0.62842168457031256</v>
      </c>
      <c r="I4">
        <v>150</v>
      </c>
      <c r="J4" s="4">
        <v>44295.747291666667</v>
      </c>
      <c r="K4">
        <v>0.68</v>
      </c>
      <c r="L4">
        <v>0.56000000000000005</v>
      </c>
      <c r="M4">
        <v>0.7</v>
      </c>
      <c r="N4">
        <v>5</v>
      </c>
      <c r="O4">
        <v>272</v>
      </c>
      <c r="P4">
        <v>0.47754428710937502</v>
      </c>
    </row>
    <row r="5" spans="1:16" x14ac:dyDescent="0.2">
      <c r="A5" s="3">
        <v>3</v>
      </c>
      <c r="B5" s="4">
        <v>44256.635196759264</v>
      </c>
      <c r="C5">
        <v>73.599999999999994</v>
      </c>
      <c r="D5">
        <v>71.599999999999994</v>
      </c>
      <c r="E5">
        <v>72.150000000000006</v>
      </c>
      <c r="F5">
        <v>1</v>
      </c>
      <c r="G5">
        <v>1</v>
      </c>
      <c r="H5">
        <v>1.0000000000000001E-5</v>
      </c>
      <c r="I5">
        <v>165</v>
      </c>
      <c r="J5" s="4">
        <v>44293.804432870369</v>
      </c>
      <c r="K5">
        <v>0.99</v>
      </c>
      <c r="L5">
        <v>0.83</v>
      </c>
      <c r="M5">
        <v>0.98</v>
      </c>
      <c r="N5">
        <v>20</v>
      </c>
      <c r="O5">
        <v>241</v>
      </c>
      <c r="P5">
        <v>0.42896078857421882</v>
      </c>
    </row>
    <row r="6" spans="1:16" x14ac:dyDescent="0.2">
      <c r="A6" s="3">
        <v>4</v>
      </c>
      <c r="B6" s="4">
        <v>44264.620844907397</v>
      </c>
      <c r="C6">
        <v>61.5</v>
      </c>
      <c r="D6">
        <v>78.75</v>
      </c>
      <c r="E6">
        <v>79.75</v>
      </c>
      <c r="F6">
        <v>4</v>
      </c>
      <c r="G6">
        <v>1</v>
      </c>
      <c r="H6">
        <v>1.0000000000000001E-5</v>
      </c>
      <c r="I6">
        <v>175</v>
      </c>
      <c r="J6" s="4">
        <v>44292.638333333343</v>
      </c>
      <c r="K6">
        <v>1.31</v>
      </c>
      <c r="L6">
        <v>1.08</v>
      </c>
      <c r="M6">
        <v>1.22</v>
      </c>
      <c r="N6">
        <v>1</v>
      </c>
      <c r="O6">
        <v>427</v>
      </c>
      <c r="P6">
        <v>0.39734489379882809</v>
      </c>
    </row>
    <row r="7" spans="1:16" x14ac:dyDescent="0.2">
      <c r="A7" s="3">
        <v>5</v>
      </c>
      <c r="B7" s="4">
        <v>44294.597627314812</v>
      </c>
      <c r="C7">
        <v>74.459999999999994</v>
      </c>
      <c r="D7">
        <v>75</v>
      </c>
      <c r="E7">
        <v>79.099999999999994</v>
      </c>
      <c r="F7">
        <v>21</v>
      </c>
      <c r="G7">
        <v>35</v>
      </c>
      <c r="H7">
        <v>0.47485876708984381</v>
      </c>
      <c r="I7">
        <v>180</v>
      </c>
      <c r="J7" s="4">
        <v>44295.718113425923</v>
      </c>
      <c r="K7">
        <v>1.34</v>
      </c>
      <c r="L7">
        <v>1.23</v>
      </c>
      <c r="M7">
        <v>1.37</v>
      </c>
      <c r="N7">
        <v>10</v>
      </c>
      <c r="O7">
        <v>1877</v>
      </c>
      <c r="P7">
        <v>0.38245246459960941</v>
      </c>
    </row>
    <row r="8" spans="1:16" x14ac:dyDescent="0.2">
      <c r="A8" s="3">
        <v>6</v>
      </c>
      <c r="B8" s="4">
        <v>44293.676157407397</v>
      </c>
      <c r="C8">
        <v>66.900000000000006</v>
      </c>
      <c r="D8">
        <v>70.45</v>
      </c>
      <c r="E8">
        <v>74.400000000000006</v>
      </c>
      <c r="F8">
        <v>1</v>
      </c>
      <c r="G8">
        <v>9</v>
      </c>
      <c r="H8">
        <v>0.45801323242187508</v>
      </c>
      <c r="I8">
        <v>185</v>
      </c>
      <c r="J8" s="4">
        <v>44295.59003472222</v>
      </c>
      <c r="K8">
        <v>1.5</v>
      </c>
      <c r="L8">
        <v>1.4</v>
      </c>
      <c r="M8">
        <v>1.55</v>
      </c>
      <c r="N8">
        <v>10</v>
      </c>
      <c r="O8">
        <v>901</v>
      </c>
      <c r="P8">
        <v>0.36829244995117189</v>
      </c>
    </row>
    <row r="9" spans="1:16" x14ac:dyDescent="0.2">
      <c r="A9" s="3">
        <v>7</v>
      </c>
      <c r="B9" s="4">
        <v>44287.60328703704</v>
      </c>
      <c r="C9">
        <v>54.14</v>
      </c>
      <c r="D9">
        <v>66.7</v>
      </c>
      <c r="E9">
        <v>68.650000000000006</v>
      </c>
      <c r="F9">
        <v>7</v>
      </c>
      <c r="G9">
        <v>29</v>
      </c>
      <c r="H9">
        <v>0.40057972473144532</v>
      </c>
      <c r="I9">
        <v>190</v>
      </c>
      <c r="J9" s="4">
        <v>44295.824756944443</v>
      </c>
      <c r="K9">
        <v>1.72</v>
      </c>
      <c r="L9">
        <v>1.56</v>
      </c>
      <c r="M9">
        <v>1.76</v>
      </c>
      <c r="N9">
        <v>27</v>
      </c>
      <c r="O9">
        <v>489</v>
      </c>
      <c r="P9">
        <v>0.35462071166992182</v>
      </c>
    </row>
    <row r="10" spans="1:16" x14ac:dyDescent="0.2">
      <c r="A10" s="3">
        <v>8</v>
      </c>
      <c r="B10" s="4">
        <v>44294.6715625</v>
      </c>
      <c r="C10">
        <v>60</v>
      </c>
      <c r="D10">
        <v>62</v>
      </c>
      <c r="E10">
        <v>63.3</v>
      </c>
      <c r="F10">
        <v>2</v>
      </c>
      <c r="G10">
        <v>4</v>
      </c>
      <c r="H10">
        <v>0.35986968261718738</v>
      </c>
      <c r="I10">
        <v>195</v>
      </c>
      <c r="J10" s="4">
        <v>44295.786909722221</v>
      </c>
      <c r="K10">
        <v>2</v>
      </c>
      <c r="L10">
        <v>1.79</v>
      </c>
      <c r="M10">
        <v>2.0099999999999998</v>
      </c>
      <c r="N10">
        <v>12</v>
      </c>
      <c r="O10">
        <v>1637</v>
      </c>
      <c r="P10">
        <v>0.34143724975585937</v>
      </c>
    </row>
    <row r="11" spans="1:16" x14ac:dyDescent="0.2">
      <c r="A11" s="3">
        <v>9</v>
      </c>
      <c r="B11" s="4">
        <v>44291.782141203701</v>
      </c>
      <c r="C11">
        <v>51.86</v>
      </c>
      <c r="D11">
        <v>57.3</v>
      </c>
      <c r="E11">
        <v>58.6</v>
      </c>
      <c r="F11">
        <v>21</v>
      </c>
      <c r="G11">
        <v>34</v>
      </c>
      <c r="H11">
        <v>0.34552656433105472</v>
      </c>
      <c r="I11">
        <v>200</v>
      </c>
      <c r="J11" s="4">
        <v>44295.818101851852</v>
      </c>
      <c r="K11">
        <v>2.27</v>
      </c>
      <c r="L11">
        <v>2.16</v>
      </c>
      <c r="M11">
        <v>2.33</v>
      </c>
      <c r="N11">
        <v>9</v>
      </c>
      <c r="O11">
        <v>1407</v>
      </c>
      <c r="P11">
        <v>0.32971861694335941</v>
      </c>
    </row>
    <row r="12" spans="1:16" x14ac:dyDescent="0.2">
      <c r="A12" s="3">
        <v>10</v>
      </c>
      <c r="B12" s="4">
        <v>44292.586145833331</v>
      </c>
      <c r="C12">
        <v>47.66</v>
      </c>
      <c r="D12">
        <v>52.7</v>
      </c>
      <c r="E12">
        <v>53.95</v>
      </c>
      <c r="F12">
        <v>5</v>
      </c>
      <c r="G12">
        <v>10</v>
      </c>
      <c r="H12">
        <v>0.3316717224121094</v>
      </c>
      <c r="I12">
        <v>205</v>
      </c>
      <c r="J12" s="4">
        <v>44295.773113425923</v>
      </c>
      <c r="K12">
        <v>2.73</v>
      </c>
      <c r="L12">
        <v>2.5499999999999998</v>
      </c>
      <c r="M12">
        <v>2.72</v>
      </c>
      <c r="N12">
        <v>2</v>
      </c>
      <c r="O12">
        <v>1047</v>
      </c>
      <c r="P12">
        <v>0.31879343322753889</v>
      </c>
    </row>
    <row r="13" spans="1:16" x14ac:dyDescent="0.2">
      <c r="A13" s="3">
        <v>11</v>
      </c>
      <c r="B13" s="4">
        <v>44293.622488425928</v>
      </c>
      <c r="C13">
        <v>44.08</v>
      </c>
      <c r="D13">
        <v>48.3</v>
      </c>
      <c r="E13">
        <v>49.3</v>
      </c>
      <c r="F13">
        <v>2</v>
      </c>
      <c r="G13">
        <v>81</v>
      </c>
      <c r="H13">
        <v>0.3163520513916015</v>
      </c>
      <c r="I13">
        <v>210</v>
      </c>
      <c r="J13" s="4">
        <v>44295.745682870373</v>
      </c>
      <c r="K13">
        <v>3.2</v>
      </c>
      <c r="L13">
        <v>3.05</v>
      </c>
      <c r="M13">
        <v>3.2</v>
      </c>
      <c r="N13">
        <v>12</v>
      </c>
      <c r="O13">
        <v>999</v>
      </c>
      <c r="P13">
        <v>0.30878376770019528</v>
      </c>
    </row>
    <row r="14" spans="1:16" x14ac:dyDescent="0.2">
      <c r="A14" s="3">
        <v>12</v>
      </c>
      <c r="B14" s="4">
        <v>44293.63921296296</v>
      </c>
      <c r="C14">
        <v>39.69</v>
      </c>
      <c r="D14">
        <v>43.75</v>
      </c>
      <c r="E14">
        <v>44.7</v>
      </c>
      <c r="F14">
        <v>5</v>
      </c>
      <c r="G14">
        <v>14</v>
      </c>
      <c r="H14">
        <v>0.30115444946289061</v>
      </c>
      <c r="I14">
        <v>215</v>
      </c>
      <c r="J14" s="4">
        <v>44295.698495370372</v>
      </c>
      <c r="K14">
        <v>3.92</v>
      </c>
      <c r="L14">
        <v>3.6</v>
      </c>
      <c r="M14">
        <v>3.8</v>
      </c>
      <c r="N14">
        <v>30</v>
      </c>
      <c r="O14">
        <v>1138</v>
      </c>
      <c r="P14">
        <v>0.29999479309082028</v>
      </c>
    </row>
    <row r="15" spans="1:16" x14ac:dyDescent="0.2">
      <c r="A15" s="3">
        <v>13</v>
      </c>
      <c r="B15" s="4">
        <v>44295.817094907397</v>
      </c>
      <c r="C15">
        <v>39.53</v>
      </c>
      <c r="D15">
        <v>39.549999999999997</v>
      </c>
      <c r="E15">
        <v>40.4</v>
      </c>
      <c r="F15">
        <v>1</v>
      </c>
      <c r="G15">
        <v>156</v>
      </c>
      <c r="H15">
        <v>0.29224340576171859</v>
      </c>
      <c r="I15">
        <v>220</v>
      </c>
      <c r="J15" s="4">
        <v>44295.817106481481</v>
      </c>
      <c r="K15">
        <v>4.45</v>
      </c>
      <c r="L15">
        <v>4.25</v>
      </c>
      <c r="M15">
        <v>4.5</v>
      </c>
      <c r="N15">
        <v>23</v>
      </c>
      <c r="O15">
        <v>1049</v>
      </c>
      <c r="P15">
        <v>0.29114478393554682</v>
      </c>
    </row>
    <row r="16" spans="1:16" x14ac:dyDescent="0.2">
      <c r="A16" s="3">
        <v>14</v>
      </c>
      <c r="B16" s="4">
        <v>44295.740694444437</v>
      </c>
      <c r="C16">
        <v>35.04</v>
      </c>
      <c r="D16">
        <v>35.450000000000003</v>
      </c>
      <c r="E16">
        <v>36.35</v>
      </c>
      <c r="F16">
        <v>7</v>
      </c>
      <c r="G16">
        <v>97</v>
      </c>
      <c r="H16">
        <v>0.28644512390136712</v>
      </c>
      <c r="I16">
        <v>225</v>
      </c>
      <c r="J16" s="4">
        <v>44295.781631944446</v>
      </c>
      <c r="K16">
        <v>5.35</v>
      </c>
      <c r="L16">
        <v>5.15</v>
      </c>
      <c r="M16">
        <v>5.35</v>
      </c>
      <c r="N16">
        <v>42</v>
      </c>
      <c r="O16">
        <v>1779</v>
      </c>
      <c r="P16">
        <v>0.28314925842285149</v>
      </c>
    </row>
    <row r="17" spans="1:16" x14ac:dyDescent="0.2">
      <c r="A17" s="3">
        <v>15</v>
      </c>
      <c r="B17" s="4">
        <v>44295.785729166673</v>
      </c>
      <c r="C17">
        <v>30.65</v>
      </c>
      <c r="D17">
        <v>31.6</v>
      </c>
      <c r="E17">
        <v>32.25</v>
      </c>
      <c r="F17">
        <v>50</v>
      </c>
      <c r="G17">
        <v>377</v>
      </c>
      <c r="H17">
        <v>0.27631338928222648</v>
      </c>
      <c r="I17">
        <v>230</v>
      </c>
      <c r="J17" s="4">
        <v>44295.62127314815</v>
      </c>
      <c r="K17">
        <v>6.63</v>
      </c>
      <c r="L17">
        <v>6.2</v>
      </c>
      <c r="M17">
        <v>6.4</v>
      </c>
      <c r="N17">
        <v>4</v>
      </c>
      <c r="O17">
        <v>1404</v>
      </c>
      <c r="P17">
        <v>0.27649649291992179</v>
      </c>
    </row>
    <row r="18" spans="1:16" x14ac:dyDescent="0.2">
      <c r="A18" s="3">
        <v>16</v>
      </c>
      <c r="B18" s="4">
        <v>44295.830509259264</v>
      </c>
      <c r="C18">
        <v>28</v>
      </c>
      <c r="D18">
        <v>27.75</v>
      </c>
      <c r="E18">
        <v>28.55</v>
      </c>
      <c r="F18">
        <v>4</v>
      </c>
      <c r="G18">
        <v>515</v>
      </c>
      <c r="H18">
        <v>0.27127803924560551</v>
      </c>
      <c r="I18">
        <v>235</v>
      </c>
      <c r="J18" s="4">
        <v>44295.625451388893</v>
      </c>
      <c r="K18">
        <v>8.1</v>
      </c>
      <c r="L18">
        <v>7.4</v>
      </c>
      <c r="M18">
        <v>7.7</v>
      </c>
      <c r="N18">
        <v>1</v>
      </c>
      <c r="O18">
        <v>1842</v>
      </c>
      <c r="P18">
        <v>0.27143062561035158</v>
      </c>
    </row>
    <row r="19" spans="1:16" x14ac:dyDescent="0.2">
      <c r="A19" s="3">
        <v>17</v>
      </c>
      <c r="B19" s="4">
        <v>44295.832152777781</v>
      </c>
      <c r="C19">
        <v>24.6</v>
      </c>
      <c r="D19">
        <v>24.4</v>
      </c>
      <c r="E19">
        <v>24.95</v>
      </c>
      <c r="F19">
        <v>45</v>
      </c>
      <c r="G19">
        <v>833</v>
      </c>
      <c r="H19">
        <v>0.26447268737792962</v>
      </c>
      <c r="I19">
        <v>240</v>
      </c>
      <c r="J19" s="4">
        <v>44295.804780092592</v>
      </c>
      <c r="K19">
        <v>8.9499999999999993</v>
      </c>
      <c r="L19">
        <v>8.9</v>
      </c>
      <c r="M19">
        <v>9.25</v>
      </c>
      <c r="N19">
        <v>22</v>
      </c>
      <c r="O19">
        <v>895</v>
      </c>
      <c r="P19">
        <v>0.26737182830810552</v>
      </c>
    </row>
    <row r="20" spans="1:16" x14ac:dyDescent="0.2">
      <c r="A20" s="3">
        <v>18</v>
      </c>
      <c r="B20" s="4">
        <v>44295.8125</v>
      </c>
      <c r="C20">
        <v>20.92</v>
      </c>
      <c r="D20">
        <v>20.75</v>
      </c>
      <c r="E20">
        <v>21.65</v>
      </c>
      <c r="F20">
        <v>49</v>
      </c>
      <c r="G20">
        <v>2348</v>
      </c>
      <c r="H20">
        <v>0.25937630279541019</v>
      </c>
      <c r="I20">
        <v>245</v>
      </c>
      <c r="J20" s="4">
        <v>44295.77480324074</v>
      </c>
      <c r="K20">
        <v>10.85</v>
      </c>
      <c r="L20">
        <v>10.6</v>
      </c>
      <c r="M20">
        <v>10.95</v>
      </c>
      <c r="N20">
        <v>5</v>
      </c>
      <c r="O20">
        <v>540</v>
      </c>
      <c r="P20">
        <v>0.26212285736083979</v>
      </c>
    </row>
    <row r="21" spans="1:16" x14ac:dyDescent="0.2">
      <c r="A21" s="3">
        <v>19</v>
      </c>
      <c r="B21" s="4">
        <v>44295.829768518517</v>
      </c>
      <c r="C21">
        <v>18.2</v>
      </c>
      <c r="D21">
        <v>18.100000000000001</v>
      </c>
      <c r="E21">
        <v>18.600000000000001</v>
      </c>
      <c r="F21">
        <v>65</v>
      </c>
      <c r="G21">
        <v>647</v>
      </c>
      <c r="H21">
        <v>0.25464612548828131</v>
      </c>
      <c r="I21">
        <v>250</v>
      </c>
      <c r="J21" s="4">
        <v>44295.826736111107</v>
      </c>
      <c r="K21">
        <v>12.95</v>
      </c>
      <c r="L21">
        <v>12.6</v>
      </c>
      <c r="M21">
        <v>12.95</v>
      </c>
      <c r="N21">
        <v>163</v>
      </c>
      <c r="O21">
        <v>521</v>
      </c>
      <c r="P21">
        <v>0.25812509460449218</v>
      </c>
    </row>
    <row r="22" spans="1:16" x14ac:dyDescent="0.2">
      <c r="A22" s="3">
        <v>20</v>
      </c>
      <c r="B22" s="4">
        <v>44295.820277777777</v>
      </c>
      <c r="C22">
        <v>15.35</v>
      </c>
      <c r="D22">
        <v>15.45</v>
      </c>
      <c r="E22">
        <v>15.95</v>
      </c>
      <c r="F22">
        <v>69</v>
      </c>
      <c r="G22">
        <v>733</v>
      </c>
      <c r="H22">
        <v>0.25250991638183601</v>
      </c>
      <c r="I22">
        <v>255</v>
      </c>
      <c r="J22" s="4">
        <v>44295.826608796298</v>
      </c>
      <c r="K22">
        <v>15.25</v>
      </c>
      <c r="L22">
        <v>14.95</v>
      </c>
      <c r="M22">
        <v>15.25</v>
      </c>
      <c r="N22">
        <v>56</v>
      </c>
      <c r="O22">
        <v>611</v>
      </c>
      <c r="P22">
        <v>0.25510388458251959</v>
      </c>
    </row>
    <row r="23" spans="1:16" x14ac:dyDescent="0.2">
      <c r="A23" s="3">
        <v>21</v>
      </c>
      <c r="B23" s="4">
        <v>44295.817812499998</v>
      </c>
      <c r="C23">
        <v>12.95</v>
      </c>
      <c r="D23">
        <v>13.05</v>
      </c>
      <c r="E23">
        <v>13.4</v>
      </c>
      <c r="F23">
        <v>94</v>
      </c>
      <c r="G23">
        <v>697</v>
      </c>
      <c r="H23">
        <v>0.2478712908935547</v>
      </c>
      <c r="I23">
        <v>260</v>
      </c>
      <c r="J23" s="4">
        <v>44295.77447916667</v>
      </c>
      <c r="K23">
        <v>18.440000000000001</v>
      </c>
      <c r="L23">
        <v>17.5</v>
      </c>
      <c r="M23">
        <v>18.25</v>
      </c>
      <c r="N23">
        <v>40</v>
      </c>
      <c r="O23">
        <v>93</v>
      </c>
      <c r="P23">
        <v>0.25940682006835941</v>
      </c>
    </row>
    <row r="24" spans="1:16" x14ac:dyDescent="0.2">
      <c r="A24" s="3">
        <v>22</v>
      </c>
      <c r="B24" s="4">
        <v>44295.830821759257</v>
      </c>
      <c r="C24">
        <v>11.02</v>
      </c>
      <c r="D24">
        <v>10.9</v>
      </c>
      <c r="E24">
        <v>11.3</v>
      </c>
      <c r="F24">
        <v>48</v>
      </c>
      <c r="G24">
        <v>505</v>
      </c>
      <c r="H24">
        <v>0.24646749633789061</v>
      </c>
      <c r="I24">
        <v>265</v>
      </c>
    </row>
    <row r="25" spans="1:16" x14ac:dyDescent="0.2">
      <c r="A25" s="3">
        <v>23</v>
      </c>
      <c r="B25" s="4">
        <v>44295.830821759257</v>
      </c>
      <c r="C25">
        <v>9.17</v>
      </c>
      <c r="D25">
        <v>9</v>
      </c>
      <c r="E25">
        <v>9.4499999999999993</v>
      </c>
      <c r="F25">
        <v>123</v>
      </c>
      <c r="G25">
        <v>1616</v>
      </c>
      <c r="H25">
        <v>0.24515525360107421</v>
      </c>
      <c r="I25">
        <v>270</v>
      </c>
      <c r="J25" s="4">
        <v>44294.758206018523</v>
      </c>
      <c r="K25">
        <v>25.35</v>
      </c>
      <c r="L25">
        <v>23.35</v>
      </c>
      <c r="M25">
        <v>24.05</v>
      </c>
      <c r="N25">
        <v>10</v>
      </c>
      <c r="O25">
        <v>27</v>
      </c>
      <c r="P25">
        <v>0.25293715820312501</v>
      </c>
    </row>
    <row r="26" spans="1:16" x14ac:dyDescent="0.2">
      <c r="A26" s="3">
        <v>24</v>
      </c>
      <c r="B26" s="4">
        <v>44295.823101851849</v>
      </c>
      <c r="C26">
        <v>7.3</v>
      </c>
      <c r="D26">
        <v>7.4</v>
      </c>
      <c r="E26">
        <v>7.8</v>
      </c>
      <c r="F26">
        <v>34</v>
      </c>
      <c r="G26">
        <v>248</v>
      </c>
      <c r="H26">
        <v>0.24329369995117189</v>
      </c>
      <c r="I26">
        <v>275</v>
      </c>
    </row>
    <row r="27" spans="1:16" x14ac:dyDescent="0.2">
      <c r="A27" s="3">
        <v>25</v>
      </c>
      <c r="B27" s="4">
        <v>44295.826273148137</v>
      </c>
      <c r="C27">
        <v>6</v>
      </c>
      <c r="D27">
        <v>6.1</v>
      </c>
      <c r="E27">
        <v>6.4</v>
      </c>
      <c r="F27">
        <v>18</v>
      </c>
      <c r="G27">
        <v>784</v>
      </c>
      <c r="H27">
        <v>0.24195093994140629</v>
      </c>
      <c r="I27">
        <v>280</v>
      </c>
      <c r="J27" s="4">
        <v>44285.613263888888</v>
      </c>
      <c r="K27">
        <v>37</v>
      </c>
      <c r="L27">
        <v>30.3</v>
      </c>
      <c r="M27">
        <v>30.95</v>
      </c>
      <c r="N27">
        <v>9</v>
      </c>
      <c r="O27">
        <v>15</v>
      </c>
      <c r="P27">
        <v>0.24961077545166019</v>
      </c>
    </row>
    <row r="28" spans="1:16" x14ac:dyDescent="0.2">
      <c r="A28" s="3">
        <v>26</v>
      </c>
      <c r="B28" s="4">
        <v>44295.765393518523</v>
      </c>
      <c r="C28">
        <v>4.75</v>
      </c>
      <c r="D28">
        <v>4.95</v>
      </c>
      <c r="E28">
        <v>5.2</v>
      </c>
      <c r="F28">
        <v>10</v>
      </c>
      <c r="G28">
        <v>249</v>
      </c>
      <c r="H28">
        <v>0.24054714538574221</v>
      </c>
      <c r="I28">
        <v>285</v>
      </c>
      <c r="J28" s="4">
        <v>44291.568171296298</v>
      </c>
      <c r="K28">
        <v>44</v>
      </c>
      <c r="L28">
        <v>34.200000000000003</v>
      </c>
      <c r="M28">
        <v>34.950000000000003</v>
      </c>
      <c r="N28">
        <v>3</v>
      </c>
      <c r="O28">
        <v>7</v>
      </c>
      <c r="P28">
        <v>0.25281508911132811</v>
      </c>
    </row>
    <row r="29" spans="1:16" x14ac:dyDescent="0.2">
      <c r="A29" s="3">
        <v>27</v>
      </c>
      <c r="B29" s="4">
        <v>44295.829930555563</v>
      </c>
      <c r="C29">
        <v>4.0999999999999996</v>
      </c>
      <c r="D29">
        <v>4</v>
      </c>
      <c r="E29">
        <v>4.25</v>
      </c>
      <c r="F29">
        <v>29</v>
      </c>
      <c r="G29">
        <v>144</v>
      </c>
      <c r="H29">
        <v>0.240669214477539</v>
      </c>
      <c r="I29">
        <v>290</v>
      </c>
      <c r="J29" s="4">
        <v>44286.832627314812</v>
      </c>
      <c r="K29">
        <v>55.6</v>
      </c>
      <c r="L29">
        <v>38.200000000000003</v>
      </c>
      <c r="M29">
        <v>39.15</v>
      </c>
      <c r="N29">
        <v>1</v>
      </c>
      <c r="O29">
        <v>10</v>
      </c>
      <c r="P29">
        <v>0.25711802459716793</v>
      </c>
    </row>
    <row r="30" spans="1:16" x14ac:dyDescent="0.2">
      <c r="A30" s="3">
        <v>28</v>
      </c>
      <c r="B30" s="4">
        <v>44295.693356481483</v>
      </c>
      <c r="C30">
        <v>3.1</v>
      </c>
      <c r="D30">
        <v>3.25</v>
      </c>
      <c r="E30">
        <v>3.5</v>
      </c>
      <c r="F30">
        <v>1</v>
      </c>
      <c r="G30">
        <v>319</v>
      </c>
      <c r="H30">
        <v>0.24188990539550781</v>
      </c>
      <c r="I30">
        <v>295</v>
      </c>
    </row>
    <row r="31" spans="1:16" x14ac:dyDescent="0.2">
      <c r="A31" s="3">
        <v>29</v>
      </c>
      <c r="B31" s="4">
        <v>44295.827870370369</v>
      </c>
      <c r="C31">
        <v>2.64</v>
      </c>
      <c r="D31">
        <v>2.61</v>
      </c>
      <c r="E31">
        <v>3.15</v>
      </c>
      <c r="F31">
        <v>20</v>
      </c>
      <c r="G31">
        <v>239</v>
      </c>
      <c r="H31">
        <v>0.25052629364013668</v>
      </c>
      <c r="I31">
        <v>300</v>
      </c>
      <c r="J31" s="4">
        <v>44284.791678240741</v>
      </c>
      <c r="K31">
        <v>66.8</v>
      </c>
      <c r="L31">
        <v>46.9</v>
      </c>
      <c r="M31">
        <v>47.8</v>
      </c>
      <c r="N31">
        <v>9</v>
      </c>
      <c r="O31">
        <v>12</v>
      </c>
      <c r="P31">
        <v>0.26352665191650387</v>
      </c>
    </row>
    <row r="32" spans="1:16" x14ac:dyDescent="0.2">
      <c r="A32" s="3">
        <v>30</v>
      </c>
      <c r="B32" s="4">
        <v>44294.779108796298</v>
      </c>
      <c r="C32">
        <v>1.65</v>
      </c>
      <c r="D32">
        <v>1.74</v>
      </c>
      <c r="E32">
        <v>2.04</v>
      </c>
      <c r="F32">
        <v>1</v>
      </c>
      <c r="G32">
        <v>305</v>
      </c>
      <c r="H32">
        <v>0.24970232727050781</v>
      </c>
      <c r="I32">
        <v>310</v>
      </c>
    </row>
    <row r="33" spans="1:16" x14ac:dyDescent="0.2">
      <c r="A33" s="3">
        <v>31</v>
      </c>
      <c r="B33" s="4">
        <v>44295.743622685193</v>
      </c>
      <c r="C33">
        <v>1.21</v>
      </c>
      <c r="D33">
        <v>1.19</v>
      </c>
      <c r="E33">
        <v>1.42</v>
      </c>
      <c r="F33">
        <v>2</v>
      </c>
      <c r="G33">
        <v>686</v>
      </c>
      <c r="H33">
        <v>0.25452405639648451</v>
      </c>
      <c r="I33">
        <v>320</v>
      </c>
    </row>
    <row r="34" spans="1:16" x14ac:dyDescent="0.2">
      <c r="A34" s="3">
        <v>32</v>
      </c>
      <c r="B34" s="4">
        <v>44293.71769675926</v>
      </c>
      <c r="C34">
        <v>0.83</v>
      </c>
      <c r="D34">
        <v>0.86</v>
      </c>
      <c r="E34">
        <v>1.05</v>
      </c>
      <c r="F34">
        <v>1</v>
      </c>
      <c r="G34">
        <v>312</v>
      </c>
      <c r="H34">
        <v>0.26233647827148437</v>
      </c>
      <c r="I34">
        <v>330</v>
      </c>
    </row>
    <row r="35" spans="1:16" x14ac:dyDescent="0.2">
      <c r="A35" s="3">
        <v>33</v>
      </c>
      <c r="B35" s="4">
        <v>44294.779178240737</v>
      </c>
      <c r="C35">
        <v>0.65</v>
      </c>
      <c r="D35">
        <v>0.62</v>
      </c>
      <c r="E35">
        <v>0.75</v>
      </c>
      <c r="F35">
        <v>14</v>
      </c>
      <c r="G35">
        <v>176</v>
      </c>
      <c r="H35">
        <v>0.26758544921874999</v>
      </c>
      <c r="I35">
        <v>340</v>
      </c>
    </row>
    <row r="36" spans="1:16" x14ac:dyDescent="0.2">
      <c r="A36" s="3">
        <v>34</v>
      </c>
      <c r="B36" s="4">
        <v>44294.721192129633</v>
      </c>
      <c r="C36">
        <v>0.52</v>
      </c>
      <c r="D36">
        <v>0.44</v>
      </c>
      <c r="E36">
        <v>0.59</v>
      </c>
      <c r="F36">
        <v>1</v>
      </c>
      <c r="G36">
        <v>362</v>
      </c>
      <c r="H36">
        <v>0.27698476928710941</v>
      </c>
      <c r="I36">
        <v>350</v>
      </c>
    </row>
    <row r="37" spans="1:16" x14ac:dyDescent="0.2">
      <c r="A37" s="3">
        <v>35</v>
      </c>
      <c r="B37" s="4">
        <v>44294.749965277777</v>
      </c>
      <c r="C37">
        <v>0.43</v>
      </c>
      <c r="D37">
        <v>0.27</v>
      </c>
      <c r="E37">
        <v>0.45</v>
      </c>
      <c r="F37">
        <v>1</v>
      </c>
      <c r="G37">
        <v>159</v>
      </c>
      <c r="H37">
        <v>0.28394270751953121</v>
      </c>
      <c r="I37">
        <v>360</v>
      </c>
      <c r="J37" s="4">
        <v>44259.736516203702</v>
      </c>
      <c r="K37">
        <v>131.55000000000001</v>
      </c>
      <c r="L37">
        <v>117.6</v>
      </c>
      <c r="M37">
        <v>118.5</v>
      </c>
      <c r="O37">
        <v>1</v>
      </c>
      <c r="P37">
        <v>0.67880570220947278</v>
      </c>
    </row>
    <row r="38" spans="1:16" x14ac:dyDescent="0.2">
      <c r="A38" s="3">
        <v>36</v>
      </c>
      <c r="B38" s="4">
        <v>44292.665659722217</v>
      </c>
      <c r="C38">
        <v>0.36</v>
      </c>
      <c r="D38">
        <v>0</v>
      </c>
      <c r="E38">
        <v>0</v>
      </c>
      <c r="G38">
        <v>0</v>
      </c>
      <c r="H38">
        <v>0.12500875</v>
      </c>
      <c r="I38">
        <v>370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2"/>
  <dimension ref="A1:P55"/>
  <sheetViews>
    <sheetView workbookViewId="0"/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44294.760717592602</v>
      </c>
      <c r="C2">
        <v>154.25</v>
      </c>
      <c r="D2">
        <v>155.4</v>
      </c>
      <c r="E2">
        <v>156.5</v>
      </c>
      <c r="F2">
        <v>15</v>
      </c>
      <c r="G2">
        <v>43</v>
      </c>
      <c r="H2">
        <v>0.55273884765625003</v>
      </c>
      <c r="I2">
        <v>100</v>
      </c>
      <c r="J2" s="4">
        <v>44285.769479166673</v>
      </c>
      <c r="K2">
        <v>0.28000000000000003</v>
      </c>
      <c r="L2">
        <v>0.25</v>
      </c>
      <c r="M2">
        <v>0.3</v>
      </c>
      <c r="N2">
        <v>2</v>
      </c>
      <c r="O2">
        <v>2177</v>
      </c>
      <c r="P2">
        <v>0.62793340820312515</v>
      </c>
    </row>
    <row r="3" spans="1:16" x14ac:dyDescent="0.2">
      <c r="A3" s="3">
        <v>1</v>
      </c>
      <c r="B3" s="4">
        <v>44295.69804398148</v>
      </c>
      <c r="C3">
        <v>149.4</v>
      </c>
      <c r="D3">
        <v>150.4</v>
      </c>
      <c r="E3">
        <v>151.65</v>
      </c>
      <c r="F3">
        <v>15</v>
      </c>
      <c r="G3">
        <v>26</v>
      </c>
      <c r="H3">
        <v>0.56152782226562503</v>
      </c>
      <c r="I3">
        <v>105</v>
      </c>
      <c r="J3" s="4">
        <v>44274.819791666669</v>
      </c>
      <c r="K3">
        <v>0.49</v>
      </c>
      <c r="L3">
        <v>0.25</v>
      </c>
      <c r="M3">
        <v>0.34</v>
      </c>
      <c r="N3">
        <v>44</v>
      </c>
      <c r="O3">
        <v>5761</v>
      </c>
      <c r="P3">
        <v>0.60303131347656269</v>
      </c>
    </row>
    <row r="4" spans="1:16" x14ac:dyDescent="0.2">
      <c r="A4" s="3">
        <v>2</v>
      </c>
      <c r="B4" s="4">
        <v>44295.658518518518</v>
      </c>
      <c r="C4">
        <v>144.4</v>
      </c>
      <c r="D4">
        <v>145.4</v>
      </c>
      <c r="E4">
        <v>146.4</v>
      </c>
      <c r="F4">
        <v>30</v>
      </c>
      <c r="G4">
        <v>12</v>
      </c>
      <c r="H4">
        <v>0.62744513183593764</v>
      </c>
      <c r="I4">
        <v>110</v>
      </c>
      <c r="J4" s="4">
        <v>44245.671712962961</v>
      </c>
      <c r="K4">
        <v>0.56999999999999995</v>
      </c>
      <c r="L4">
        <v>0.48</v>
      </c>
      <c r="M4">
        <v>0.7</v>
      </c>
      <c r="N4">
        <v>98</v>
      </c>
      <c r="O4">
        <v>284</v>
      </c>
      <c r="P4">
        <v>0.63525755371093762</v>
      </c>
    </row>
    <row r="5" spans="1:16" x14ac:dyDescent="0.2">
      <c r="A5" s="3">
        <v>3</v>
      </c>
      <c r="B5" s="4">
        <v>44253.834710648152</v>
      </c>
      <c r="C5">
        <v>119.8</v>
      </c>
      <c r="D5">
        <v>121.2</v>
      </c>
      <c r="E5">
        <v>122.9</v>
      </c>
      <c r="F5">
        <v>12</v>
      </c>
      <c r="G5">
        <v>29</v>
      </c>
      <c r="H5">
        <v>1.0000000000000001E-5</v>
      </c>
      <c r="I5">
        <v>115</v>
      </c>
      <c r="J5" s="4">
        <v>44294.698645833327</v>
      </c>
      <c r="K5">
        <v>0.4</v>
      </c>
      <c r="L5">
        <v>0.3</v>
      </c>
      <c r="M5">
        <v>0.43</v>
      </c>
      <c r="N5">
        <v>1</v>
      </c>
      <c r="O5">
        <v>634</v>
      </c>
      <c r="P5">
        <v>0.56250437500000006</v>
      </c>
    </row>
    <row r="6" spans="1:16" x14ac:dyDescent="0.2">
      <c r="A6" s="3">
        <v>4</v>
      </c>
      <c r="B6" s="4">
        <v>44295.685497685183</v>
      </c>
      <c r="C6">
        <v>134.85</v>
      </c>
      <c r="D6">
        <v>135.55000000000001</v>
      </c>
      <c r="E6">
        <v>136.6</v>
      </c>
      <c r="F6">
        <v>31</v>
      </c>
      <c r="G6">
        <v>352</v>
      </c>
      <c r="H6">
        <v>0.59790441162109387</v>
      </c>
      <c r="I6">
        <v>120</v>
      </c>
      <c r="J6" s="4">
        <v>44294.817916666667</v>
      </c>
      <c r="K6">
        <v>0.45</v>
      </c>
      <c r="L6">
        <v>0.35</v>
      </c>
      <c r="M6">
        <v>0.5</v>
      </c>
      <c r="N6">
        <v>2</v>
      </c>
      <c r="O6">
        <v>229</v>
      </c>
      <c r="P6">
        <v>0.54712366943359392</v>
      </c>
    </row>
    <row r="7" spans="1:16" x14ac:dyDescent="0.2">
      <c r="A7" s="3">
        <v>5</v>
      </c>
      <c r="B7" s="4">
        <v>44271.695196759261</v>
      </c>
      <c r="C7">
        <v>115.07</v>
      </c>
      <c r="D7">
        <v>130.5</v>
      </c>
      <c r="E7">
        <v>131.9</v>
      </c>
      <c r="F7">
        <v>18</v>
      </c>
      <c r="G7">
        <v>89</v>
      </c>
      <c r="H7">
        <v>0.50439948730468753</v>
      </c>
      <c r="I7">
        <v>125</v>
      </c>
      <c r="J7" s="4">
        <v>44286.574432870373</v>
      </c>
      <c r="K7">
        <v>0.53</v>
      </c>
      <c r="L7">
        <v>0.23</v>
      </c>
      <c r="M7">
        <v>0.54</v>
      </c>
      <c r="N7">
        <v>1</v>
      </c>
      <c r="O7">
        <v>355</v>
      </c>
      <c r="P7">
        <v>0.51270018554687491</v>
      </c>
    </row>
    <row r="8" spans="1:16" x14ac:dyDescent="0.2">
      <c r="A8" s="3">
        <v>6</v>
      </c>
      <c r="B8" s="4">
        <v>44285.681458333333</v>
      </c>
      <c r="C8">
        <v>102.4</v>
      </c>
      <c r="D8">
        <v>125.55</v>
      </c>
      <c r="E8">
        <v>126.95</v>
      </c>
      <c r="F8">
        <v>3</v>
      </c>
      <c r="G8">
        <v>173</v>
      </c>
      <c r="H8">
        <v>0.57959404785156254</v>
      </c>
      <c r="I8">
        <v>130</v>
      </c>
      <c r="J8" s="4">
        <v>44291.609467592592</v>
      </c>
      <c r="K8">
        <v>0.6</v>
      </c>
      <c r="L8">
        <v>0.5</v>
      </c>
      <c r="M8">
        <v>0.86</v>
      </c>
      <c r="N8">
        <v>1</v>
      </c>
      <c r="O8">
        <v>1758</v>
      </c>
      <c r="P8">
        <v>0.53271951660156247</v>
      </c>
    </row>
    <row r="9" spans="1:16" x14ac:dyDescent="0.2">
      <c r="A9" s="3">
        <v>7</v>
      </c>
      <c r="B9" s="4">
        <v>44243.691157407397</v>
      </c>
      <c r="C9">
        <v>109.6</v>
      </c>
      <c r="D9">
        <v>95.35</v>
      </c>
      <c r="E9">
        <v>99</v>
      </c>
      <c r="F9">
        <v>1</v>
      </c>
      <c r="G9">
        <v>61</v>
      </c>
      <c r="H9">
        <v>1.0000000000000001E-5</v>
      </c>
      <c r="I9">
        <v>135</v>
      </c>
      <c r="J9" s="4">
        <v>44286.573761574073</v>
      </c>
      <c r="K9">
        <v>0.96</v>
      </c>
      <c r="L9">
        <v>0.41</v>
      </c>
      <c r="M9">
        <v>0.79</v>
      </c>
      <c r="N9">
        <v>153</v>
      </c>
      <c r="O9">
        <v>1578</v>
      </c>
      <c r="P9">
        <v>0.51929191650390627</v>
      </c>
    </row>
    <row r="10" spans="1:16" x14ac:dyDescent="0.2">
      <c r="A10" s="3">
        <v>8</v>
      </c>
      <c r="B10" s="4">
        <v>44292.565787037027</v>
      </c>
      <c r="C10">
        <v>107.77</v>
      </c>
      <c r="D10">
        <v>0</v>
      </c>
      <c r="E10">
        <v>0</v>
      </c>
      <c r="F10">
        <v>2</v>
      </c>
      <c r="G10">
        <v>0</v>
      </c>
      <c r="H10">
        <v>1.0000000000000001E-5</v>
      </c>
      <c r="I10">
        <v>140</v>
      </c>
      <c r="J10" s="4">
        <v>44294.829479166663</v>
      </c>
      <c r="K10">
        <v>0.68</v>
      </c>
      <c r="L10">
        <v>0.68</v>
      </c>
      <c r="M10">
        <v>0.96</v>
      </c>
      <c r="N10">
        <v>5</v>
      </c>
      <c r="O10">
        <v>993</v>
      </c>
      <c r="P10">
        <v>0.51086914916992199</v>
      </c>
    </row>
    <row r="11" spans="1:16" x14ac:dyDescent="0.2">
      <c r="A11" s="3">
        <v>9</v>
      </c>
      <c r="B11" s="4">
        <v>44287.831412037027</v>
      </c>
      <c r="C11">
        <v>98.3</v>
      </c>
      <c r="D11">
        <v>110.75</v>
      </c>
      <c r="E11">
        <v>112.1</v>
      </c>
      <c r="F11">
        <v>1</v>
      </c>
      <c r="G11">
        <v>76</v>
      </c>
      <c r="H11">
        <v>0.50952638916015625</v>
      </c>
      <c r="I11">
        <v>145</v>
      </c>
      <c r="J11" s="4">
        <v>44287.764074074083</v>
      </c>
      <c r="K11">
        <v>0.95</v>
      </c>
      <c r="L11">
        <v>0.73</v>
      </c>
      <c r="M11">
        <v>0.93</v>
      </c>
      <c r="N11">
        <v>31</v>
      </c>
      <c r="O11">
        <v>3848</v>
      </c>
      <c r="P11">
        <v>0.48193877441406252</v>
      </c>
    </row>
    <row r="12" spans="1:16" x14ac:dyDescent="0.2">
      <c r="A12" s="3">
        <v>10</v>
      </c>
      <c r="B12" s="4">
        <v>44294.606539351851</v>
      </c>
      <c r="C12">
        <v>104.03</v>
      </c>
      <c r="D12">
        <v>105.8</v>
      </c>
      <c r="E12">
        <v>107.2</v>
      </c>
      <c r="F12">
        <v>1</v>
      </c>
      <c r="G12">
        <v>162</v>
      </c>
      <c r="H12">
        <v>0.49084981811523443</v>
      </c>
      <c r="I12">
        <v>150</v>
      </c>
      <c r="J12" s="4">
        <v>44294.645462962973</v>
      </c>
      <c r="K12">
        <v>0.85</v>
      </c>
      <c r="L12">
        <v>0.75</v>
      </c>
      <c r="M12">
        <v>1.31</v>
      </c>
      <c r="N12">
        <v>1</v>
      </c>
      <c r="O12">
        <v>1104</v>
      </c>
      <c r="P12">
        <v>0.48840843627929698</v>
      </c>
    </row>
    <row r="13" spans="1:16" x14ac:dyDescent="0.2">
      <c r="A13" s="3">
        <v>11</v>
      </c>
      <c r="B13" s="4">
        <v>44277.817546296297</v>
      </c>
      <c r="C13">
        <v>82.5</v>
      </c>
      <c r="D13">
        <v>100.9</v>
      </c>
      <c r="E13">
        <v>102.25</v>
      </c>
      <c r="F13">
        <v>1</v>
      </c>
      <c r="G13">
        <v>52</v>
      </c>
      <c r="H13">
        <v>0.46863324340820312</v>
      </c>
      <c r="I13">
        <v>155</v>
      </c>
      <c r="J13" s="4">
        <v>44295.613599537042</v>
      </c>
      <c r="K13">
        <v>0.99</v>
      </c>
      <c r="L13">
        <v>0.91</v>
      </c>
      <c r="M13">
        <v>1.19</v>
      </c>
      <c r="N13">
        <v>8</v>
      </c>
      <c r="O13">
        <v>1243</v>
      </c>
      <c r="P13">
        <v>0.45374081420898438</v>
      </c>
    </row>
    <row r="14" spans="1:16" x14ac:dyDescent="0.2">
      <c r="A14" s="3">
        <v>12</v>
      </c>
      <c r="B14" s="4">
        <v>44294.621782407397</v>
      </c>
      <c r="C14">
        <v>93.65</v>
      </c>
      <c r="D14">
        <v>96</v>
      </c>
      <c r="E14">
        <v>97.35</v>
      </c>
      <c r="F14">
        <v>8</v>
      </c>
      <c r="G14">
        <v>392</v>
      </c>
      <c r="H14">
        <v>0.44995667236328118</v>
      </c>
      <c r="I14">
        <v>160</v>
      </c>
      <c r="J14" s="4">
        <v>44295.815243055556</v>
      </c>
      <c r="K14">
        <v>1.06</v>
      </c>
      <c r="L14">
        <v>1.05</v>
      </c>
      <c r="M14">
        <v>1.34</v>
      </c>
      <c r="N14">
        <v>1</v>
      </c>
      <c r="O14">
        <v>4171</v>
      </c>
      <c r="P14">
        <v>0.43982493774414061</v>
      </c>
    </row>
    <row r="15" spans="1:16" x14ac:dyDescent="0.2">
      <c r="A15" s="3">
        <v>13</v>
      </c>
      <c r="B15" s="4">
        <v>44279.750300925924</v>
      </c>
      <c r="C15">
        <v>74.05</v>
      </c>
      <c r="D15">
        <v>91.1</v>
      </c>
      <c r="E15">
        <v>92.4</v>
      </c>
      <c r="F15">
        <v>100</v>
      </c>
      <c r="G15">
        <v>181</v>
      </c>
      <c r="H15">
        <v>0.4282283740234375</v>
      </c>
      <c r="I15">
        <v>165</v>
      </c>
      <c r="J15" s="4">
        <v>44295.612916666672</v>
      </c>
      <c r="K15">
        <v>1.19</v>
      </c>
      <c r="L15">
        <v>1.1499999999999999</v>
      </c>
      <c r="M15">
        <v>1.39</v>
      </c>
      <c r="N15">
        <v>2</v>
      </c>
      <c r="O15">
        <v>1418</v>
      </c>
      <c r="P15">
        <v>0.41870698486328117</v>
      </c>
    </row>
    <row r="16" spans="1:16" x14ac:dyDescent="0.2">
      <c r="A16" s="3">
        <v>14</v>
      </c>
      <c r="B16" s="4">
        <v>44291.581724537027</v>
      </c>
      <c r="C16">
        <v>79.900000000000006</v>
      </c>
      <c r="D16">
        <v>86.25</v>
      </c>
      <c r="E16">
        <v>87.6</v>
      </c>
      <c r="F16">
        <v>2</v>
      </c>
      <c r="G16">
        <v>726</v>
      </c>
      <c r="H16">
        <v>0.41528905029296881</v>
      </c>
      <c r="I16">
        <v>170</v>
      </c>
      <c r="J16" s="4">
        <v>44295.715173611112</v>
      </c>
      <c r="K16">
        <v>1.32</v>
      </c>
      <c r="L16">
        <v>1.0900000000000001</v>
      </c>
      <c r="M16">
        <v>1.61</v>
      </c>
      <c r="N16">
        <v>5</v>
      </c>
      <c r="O16">
        <v>5403</v>
      </c>
      <c r="P16">
        <v>0.40784283569335938</v>
      </c>
    </row>
    <row r="17" spans="1:16" x14ac:dyDescent="0.2">
      <c r="A17" s="3">
        <v>15</v>
      </c>
      <c r="B17" s="4">
        <v>44284.800057870372</v>
      </c>
      <c r="C17">
        <v>62.15</v>
      </c>
      <c r="D17">
        <v>81.400000000000006</v>
      </c>
      <c r="E17">
        <v>82.55</v>
      </c>
      <c r="F17">
        <v>4</v>
      </c>
      <c r="G17">
        <v>579</v>
      </c>
      <c r="H17">
        <v>0.38843385009765619</v>
      </c>
      <c r="I17">
        <v>175</v>
      </c>
      <c r="J17" s="4">
        <v>44295.806643518517</v>
      </c>
      <c r="K17">
        <v>1.49</v>
      </c>
      <c r="L17">
        <v>1.2</v>
      </c>
      <c r="M17">
        <v>2.0699999999999998</v>
      </c>
      <c r="N17">
        <v>462</v>
      </c>
      <c r="O17">
        <v>4341</v>
      </c>
      <c r="P17">
        <v>0.40747662841796878</v>
      </c>
    </row>
    <row r="18" spans="1:16" x14ac:dyDescent="0.2">
      <c r="A18" s="3">
        <v>16</v>
      </c>
      <c r="B18" s="4">
        <v>44295.78869212963</v>
      </c>
      <c r="C18">
        <v>75.55</v>
      </c>
      <c r="D18">
        <v>76.650000000000006</v>
      </c>
      <c r="E18">
        <v>77.8</v>
      </c>
      <c r="F18">
        <v>1</v>
      </c>
      <c r="G18">
        <v>897</v>
      </c>
      <c r="H18">
        <v>0.37708142456054677</v>
      </c>
      <c r="I18">
        <v>180</v>
      </c>
      <c r="J18" s="4">
        <v>44295.807870370372</v>
      </c>
      <c r="K18">
        <v>1.64</v>
      </c>
      <c r="L18">
        <v>1.58</v>
      </c>
      <c r="M18">
        <v>1.68</v>
      </c>
      <c r="N18">
        <v>427</v>
      </c>
      <c r="O18">
        <v>5674</v>
      </c>
      <c r="P18">
        <v>0.36426416992187499</v>
      </c>
    </row>
    <row r="19" spans="1:16" x14ac:dyDescent="0.2">
      <c r="A19" s="3">
        <v>17</v>
      </c>
      <c r="B19" s="4">
        <v>44287.648912037039</v>
      </c>
      <c r="C19">
        <v>59.2</v>
      </c>
      <c r="D19">
        <v>71.849999999999994</v>
      </c>
      <c r="E19">
        <v>72.849999999999994</v>
      </c>
      <c r="F19">
        <v>14</v>
      </c>
      <c r="G19">
        <v>783</v>
      </c>
      <c r="H19">
        <v>0.35571933349609369</v>
      </c>
      <c r="I19">
        <v>185</v>
      </c>
      <c r="J19" s="4">
        <v>44295.595648148148</v>
      </c>
      <c r="K19">
        <v>1.9</v>
      </c>
      <c r="L19">
        <v>1.85</v>
      </c>
      <c r="M19">
        <v>1.97</v>
      </c>
      <c r="N19">
        <v>2</v>
      </c>
      <c r="O19">
        <v>2449</v>
      </c>
      <c r="P19">
        <v>0.35474278076171872</v>
      </c>
    </row>
    <row r="20" spans="1:16" x14ac:dyDescent="0.2">
      <c r="A20" s="3">
        <v>18</v>
      </c>
      <c r="B20" s="4">
        <v>44294.761192129627</v>
      </c>
      <c r="C20">
        <v>65.19</v>
      </c>
      <c r="D20">
        <v>67.099999999999994</v>
      </c>
      <c r="E20">
        <v>68.2</v>
      </c>
      <c r="F20">
        <v>1</v>
      </c>
      <c r="G20">
        <v>550</v>
      </c>
      <c r="H20">
        <v>0.3468693243408203</v>
      </c>
      <c r="I20">
        <v>190</v>
      </c>
      <c r="J20" s="4">
        <v>44295.83152777778</v>
      </c>
      <c r="K20">
        <v>2.14</v>
      </c>
      <c r="L20">
        <v>2.0499999999999998</v>
      </c>
      <c r="M20">
        <v>2.2000000000000002</v>
      </c>
      <c r="N20">
        <v>39</v>
      </c>
      <c r="O20">
        <v>5212</v>
      </c>
      <c r="P20">
        <v>0.34119311157226562</v>
      </c>
    </row>
    <row r="21" spans="1:16" x14ac:dyDescent="0.2">
      <c r="A21" s="3">
        <v>19</v>
      </c>
      <c r="B21" s="4">
        <v>44287.648912037039</v>
      </c>
      <c r="C21">
        <v>56.17</v>
      </c>
      <c r="D21">
        <v>62.5</v>
      </c>
      <c r="E21">
        <v>63.55</v>
      </c>
      <c r="F21">
        <v>1</v>
      </c>
      <c r="G21">
        <v>501</v>
      </c>
      <c r="H21">
        <v>0.33612724426269541</v>
      </c>
      <c r="I21">
        <v>195</v>
      </c>
      <c r="J21" s="4">
        <v>44295.788078703707</v>
      </c>
      <c r="K21">
        <v>2.5</v>
      </c>
      <c r="L21">
        <v>2.4300000000000002</v>
      </c>
      <c r="M21">
        <v>2.58</v>
      </c>
      <c r="N21">
        <v>172</v>
      </c>
      <c r="O21">
        <v>2039</v>
      </c>
      <c r="P21">
        <v>0.33215999877929692</v>
      </c>
    </row>
    <row r="22" spans="1:16" x14ac:dyDescent="0.2">
      <c r="A22" s="3">
        <v>20</v>
      </c>
      <c r="B22" s="4">
        <v>44295.762141203697</v>
      </c>
      <c r="C22">
        <v>57.25</v>
      </c>
      <c r="D22">
        <v>57.85</v>
      </c>
      <c r="E22">
        <v>58.85</v>
      </c>
      <c r="F22">
        <v>17</v>
      </c>
      <c r="G22">
        <v>4193</v>
      </c>
      <c r="H22">
        <v>0.32227240234374988</v>
      </c>
      <c r="I22">
        <v>200</v>
      </c>
      <c r="J22" s="4">
        <v>44295.830590277779</v>
      </c>
      <c r="K22">
        <v>2.86</v>
      </c>
      <c r="L22">
        <v>2.83</v>
      </c>
      <c r="M22">
        <v>2.91</v>
      </c>
      <c r="N22">
        <v>117</v>
      </c>
      <c r="O22">
        <v>7237</v>
      </c>
      <c r="P22">
        <v>0.31964791687011712</v>
      </c>
    </row>
    <row r="23" spans="1:16" x14ac:dyDescent="0.2">
      <c r="A23" s="3">
        <v>21</v>
      </c>
      <c r="B23" s="4">
        <v>44295.780543981477</v>
      </c>
      <c r="C23">
        <v>52.4</v>
      </c>
      <c r="D23">
        <v>53.35</v>
      </c>
      <c r="E23">
        <v>54.2</v>
      </c>
      <c r="F23">
        <v>12</v>
      </c>
      <c r="G23">
        <v>460</v>
      </c>
      <c r="H23">
        <v>0.30890583679199213</v>
      </c>
      <c r="I23">
        <v>205</v>
      </c>
      <c r="J23" s="4">
        <v>44295.817812499998</v>
      </c>
      <c r="K23">
        <v>3.35</v>
      </c>
      <c r="L23">
        <v>3.2</v>
      </c>
      <c r="M23">
        <v>3.4</v>
      </c>
      <c r="N23">
        <v>35</v>
      </c>
      <c r="O23">
        <v>4688</v>
      </c>
      <c r="P23">
        <v>0.31067583862304682</v>
      </c>
    </row>
    <row r="24" spans="1:16" x14ac:dyDescent="0.2">
      <c r="A24" s="3">
        <v>22</v>
      </c>
      <c r="B24" s="4">
        <v>44294.710127314807</v>
      </c>
      <c r="C24">
        <v>48.39</v>
      </c>
      <c r="D24">
        <v>48.9</v>
      </c>
      <c r="E24">
        <v>49.75</v>
      </c>
      <c r="F24">
        <v>3</v>
      </c>
      <c r="G24">
        <v>2016</v>
      </c>
      <c r="H24">
        <v>0.29978117218017569</v>
      </c>
      <c r="I24">
        <v>210</v>
      </c>
      <c r="J24" s="4">
        <v>44295.815972222219</v>
      </c>
      <c r="K24">
        <v>3.95</v>
      </c>
      <c r="L24">
        <v>3.75</v>
      </c>
      <c r="M24">
        <v>4</v>
      </c>
      <c r="N24">
        <v>129</v>
      </c>
      <c r="O24">
        <v>9223</v>
      </c>
      <c r="P24">
        <v>0.3026803131103516</v>
      </c>
    </row>
    <row r="25" spans="1:16" x14ac:dyDescent="0.2">
      <c r="A25" s="3">
        <v>23</v>
      </c>
      <c r="B25" s="4">
        <v>44295.830416666657</v>
      </c>
      <c r="C25">
        <v>45</v>
      </c>
      <c r="D25">
        <v>44.65</v>
      </c>
      <c r="E25">
        <v>45.4</v>
      </c>
      <c r="F25">
        <v>63</v>
      </c>
      <c r="G25">
        <v>1394</v>
      </c>
      <c r="H25">
        <v>0.29108374938964832</v>
      </c>
      <c r="I25">
        <v>215</v>
      </c>
      <c r="J25" s="4">
        <v>44295.816562499997</v>
      </c>
      <c r="K25">
        <v>4.6399999999999997</v>
      </c>
      <c r="L25">
        <v>4.4000000000000004</v>
      </c>
      <c r="M25">
        <v>4.75</v>
      </c>
      <c r="N25">
        <v>102</v>
      </c>
      <c r="O25">
        <v>3396</v>
      </c>
      <c r="P25">
        <v>0.29614961669921869</v>
      </c>
    </row>
    <row r="26" spans="1:16" x14ac:dyDescent="0.2">
      <c r="A26" s="3">
        <v>24</v>
      </c>
      <c r="B26" s="4">
        <v>44295.755335648151</v>
      </c>
      <c r="C26">
        <v>41.25</v>
      </c>
      <c r="D26">
        <v>40.450000000000003</v>
      </c>
      <c r="E26">
        <v>41.25</v>
      </c>
      <c r="F26">
        <v>53</v>
      </c>
      <c r="G26">
        <v>12395</v>
      </c>
      <c r="H26">
        <v>0.28467512207031243</v>
      </c>
      <c r="I26">
        <v>220</v>
      </c>
      <c r="J26" s="4">
        <v>44295.815578703703</v>
      </c>
      <c r="K26">
        <v>5.49</v>
      </c>
      <c r="L26">
        <v>5.2</v>
      </c>
      <c r="M26">
        <v>5.5</v>
      </c>
      <c r="N26">
        <v>64</v>
      </c>
      <c r="O26">
        <v>2889</v>
      </c>
      <c r="P26">
        <v>0.28708598663330082</v>
      </c>
    </row>
    <row r="27" spans="1:16" x14ac:dyDescent="0.2">
      <c r="A27" s="3">
        <v>25</v>
      </c>
      <c r="B27" s="4">
        <v>44295.823182870372</v>
      </c>
      <c r="C27">
        <v>36.35</v>
      </c>
      <c r="D27">
        <v>36.5</v>
      </c>
      <c r="E27">
        <v>37.15</v>
      </c>
      <c r="F27">
        <v>3</v>
      </c>
      <c r="G27">
        <v>1865</v>
      </c>
      <c r="H27">
        <v>0.27667959655761709</v>
      </c>
      <c r="I27">
        <v>225</v>
      </c>
      <c r="J27" s="4">
        <v>44295.815995370373</v>
      </c>
      <c r="K27">
        <v>6.44</v>
      </c>
      <c r="L27">
        <v>6.2</v>
      </c>
      <c r="M27">
        <v>6.5</v>
      </c>
      <c r="N27">
        <v>60</v>
      </c>
      <c r="O27">
        <v>3449</v>
      </c>
      <c r="P27">
        <v>0.28089098022460929</v>
      </c>
    </row>
    <row r="28" spans="1:16" x14ac:dyDescent="0.2">
      <c r="A28" s="3">
        <v>26</v>
      </c>
      <c r="B28" s="4">
        <v>44295.832870370366</v>
      </c>
      <c r="C28">
        <v>33</v>
      </c>
      <c r="D28">
        <v>32.35</v>
      </c>
      <c r="E28">
        <v>33.4</v>
      </c>
      <c r="F28">
        <v>73</v>
      </c>
      <c r="G28">
        <v>5778</v>
      </c>
      <c r="H28">
        <v>0.2727733856201171</v>
      </c>
      <c r="I28">
        <v>230</v>
      </c>
      <c r="J28" s="4">
        <v>44295.815891203703</v>
      </c>
      <c r="K28">
        <v>7.65</v>
      </c>
      <c r="L28">
        <v>7.3</v>
      </c>
      <c r="M28">
        <v>7.65</v>
      </c>
      <c r="N28">
        <v>85</v>
      </c>
      <c r="O28">
        <v>3602</v>
      </c>
      <c r="P28">
        <v>0.27481804290771478</v>
      </c>
    </row>
    <row r="29" spans="1:16" x14ac:dyDescent="0.2">
      <c r="A29" s="3">
        <v>27</v>
      </c>
      <c r="B29" s="4">
        <v>44295.829791666663</v>
      </c>
      <c r="C29">
        <v>29.25</v>
      </c>
      <c r="D29">
        <v>29.2</v>
      </c>
      <c r="E29">
        <v>29.75</v>
      </c>
      <c r="F29">
        <v>245</v>
      </c>
      <c r="G29">
        <v>4124</v>
      </c>
      <c r="H29">
        <v>0.2675244146728516</v>
      </c>
      <c r="I29">
        <v>235</v>
      </c>
      <c r="J29" s="4">
        <v>44295.816562499997</v>
      </c>
      <c r="K29">
        <v>8.8800000000000008</v>
      </c>
      <c r="L29">
        <v>8.6999999999999993</v>
      </c>
      <c r="M29">
        <v>9.1</v>
      </c>
      <c r="N29">
        <v>165</v>
      </c>
      <c r="O29">
        <v>3169</v>
      </c>
      <c r="P29">
        <v>0.27115597015380849</v>
      </c>
    </row>
    <row r="30" spans="1:16" x14ac:dyDescent="0.2">
      <c r="A30" s="3">
        <v>28</v>
      </c>
      <c r="B30" s="4">
        <v>44295.832442129627</v>
      </c>
      <c r="C30">
        <v>25.95</v>
      </c>
      <c r="D30">
        <v>25.75</v>
      </c>
      <c r="E30">
        <v>26.25</v>
      </c>
      <c r="F30">
        <v>63</v>
      </c>
      <c r="G30">
        <v>4238</v>
      </c>
      <c r="H30">
        <v>0.26175665008544918</v>
      </c>
      <c r="I30">
        <v>240</v>
      </c>
      <c r="J30" s="4">
        <v>44295.811631944453</v>
      </c>
      <c r="K30">
        <v>10.8</v>
      </c>
      <c r="L30">
        <v>10.3</v>
      </c>
      <c r="M30">
        <v>10.6</v>
      </c>
      <c r="N30">
        <v>44</v>
      </c>
      <c r="O30">
        <v>2856</v>
      </c>
      <c r="P30">
        <v>0.26520510192871088</v>
      </c>
    </row>
    <row r="31" spans="1:16" x14ac:dyDescent="0.2">
      <c r="A31" s="3">
        <v>29</v>
      </c>
      <c r="B31" s="4">
        <v>44295.812280092592</v>
      </c>
      <c r="C31">
        <v>22.17</v>
      </c>
      <c r="D31">
        <v>22.45</v>
      </c>
      <c r="E31">
        <v>23.15</v>
      </c>
      <c r="F31">
        <v>38</v>
      </c>
      <c r="G31">
        <v>2650</v>
      </c>
      <c r="H31">
        <v>0.25922371643066411</v>
      </c>
      <c r="I31">
        <v>245</v>
      </c>
      <c r="J31" s="4">
        <v>44295.811099537037</v>
      </c>
      <c r="K31">
        <v>12.45</v>
      </c>
      <c r="L31">
        <v>12.05</v>
      </c>
      <c r="M31">
        <v>12.55</v>
      </c>
      <c r="N31">
        <v>170</v>
      </c>
      <c r="O31">
        <v>1368</v>
      </c>
      <c r="P31">
        <v>0.2633130310058594</v>
      </c>
    </row>
    <row r="32" spans="1:16" x14ac:dyDescent="0.2">
      <c r="A32" s="3">
        <v>30</v>
      </c>
      <c r="B32" s="4">
        <v>44295.831319444442</v>
      </c>
      <c r="C32">
        <v>19.77</v>
      </c>
      <c r="D32">
        <v>19.600000000000001</v>
      </c>
      <c r="E32">
        <v>20.2</v>
      </c>
      <c r="F32">
        <v>250</v>
      </c>
      <c r="G32">
        <v>5387</v>
      </c>
      <c r="H32">
        <v>0.2556531954956055</v>
      </c>
      <c r="I32">
        <v>250</v>
      </c>
      <c r="J32" s="4">
        <v>44295.832870370366</v>
      </c>
      <c r="K32">
        <v>14.31</v>
      </c>
      <c r="L32">
        <v>14.1</v>
      </c>
      <c r="M32">
        <v>14.5</v>
      </c>
      <c r="N32">
        <v>82</v>
      </c>
      <c r="O32">
        <v>3769</v>
      </c>
      <c r="P32">
        <v>0.25806406005859378</v>
      </c>
    </row>
    <row r="33" spans="1:16" x14ac:dyDescent="0.2">
      <c r="A33" s="3">
        <v>31</v>
      </c>
      <c r="B33" s="4">
        <v>44295.832916666674</v>
      </c>
      <c r="C33">
        <v>17.2</v>
      </c>
      <c r="D33">
        <v>16.95</v>
      </c>
      <c r="E33">
        <v>17.45</v>
      </c>
      <c r="F33">
        <v>192</v>
      </c>
      <c r="G33">
        <v>2030</v>
      </c>
      <c r="H33">
        <v>0.25171646728515618</v>
      </c>
      <c r="I33">
        <v>255</v>
      </c>
      <c r="J33" s="4">
        <v>44295.816203703696</v>
      </c>
      <c r="K33">
        <v>16.95</v>
      </c>
      <c r="L33">
        <v>16.350000000000001</v>
      </c>
      <c r="M33">
        <v>16.850000000000001</v>
      </c>
      <c r="N33">
        <v>185</v>
      </c>
      <c r="O33">
        <v>249</v>
      </c>
      <c r="P33">
        <v>0.25559216094970699</v>
      </c>
    </row>
    <row r="34" spans="1:16" x14ac:dyDescent="0.2">
      <c r="A34" s="3">
        <v>32</v>
      </c>
      <c r="B34" s="4">
        <v>44295.816874999997</v>
      </c>
      <c r="C34">
        <v>14.45</v>
      </c>
      <c r="D34">
        <v>14.45</v>
      </c>
      <c r="E34">
        <v>15</v>
      </c>
      <c r="F34">
        <v>274</v>
      </c>
      <c r="G34">
        <v>5750</v>
      </c>
      <c r="H34">
        <v>0.24889361953735351</v>
      </c>
      <c r="I34">
        <v>260</v>
      </c>
      <c r="J34" s="4">
        <v>44295.623819444438</v>
      </c>
      <c r="K34">
        <v>19.95</v>
      </c>
      <c r="L34">
        <v>18.7</v>
      </c>
      <c r="M34">
        <v>19.5</v>
      </c>
      <c r="N34">
        <v>187</v>
      </c>
      <c r="O34">
        <v>212</v>
      </c>
      <c r="P34">
        <v>0.25421888366699219</v>
      </c>
    </row>
    <row r="35" spans="1:16" x14ac:dyDescent="0.2">
      <c r="A35" s="3">
        <v>33</v>
      </c>
      <c r="B35" s="4">
        <v>44295.830254629633</v>
      </c>
      <c r="C35">
        <v>12.5</v>
      </c>
      <c r="D35">
        <v>12.3</v>
      </c>
      <c r="E35">
        <v>12.8</v>
      </c>
      <c r="F35">
        <v>145</v>
      </c>
      <c r="G35">
        <v>10091</v>
      </c>
      <c r="H35">
        <v>0.24637594451904299</v>
      </c>
      <c r="I35">
        <v>265</v>
      </c>
      <c r="J35" s="4">
        <v>44295.58898148148</v>
      </c>
      <c r="K35">
        <v>22.9</v>
      </c>
      <c r="L35">
        <v>21.75</v>
      </c>
      <c r="M35">
        <v>22.25</v>
      </c>
      <c r="N35">
        <v>102</v>
      </c>
      <c r="O35">
        <v>113</v>
      </c>
      <c r="P35">
        <v>0.25101457000732419</v>
      </c>
    </row>
    <row r="36" spans="1:16" x14ac:dyDescent="0.2">
      <c r="A36" s="3">
        <v>34</v>
      </c>
      <c r="B36" s="4">
        <v>44295.829791666663</v>
      </c>
      <c r="C36">
        <v>10.51</v>
      </c>
      <c r="D36">
        <v>10.45</v>
      </c>
      <c r="E36">
        <v>10.9</v>
      </c>
      <c r="F36">
        <v>66</v>
      </c>
      <c r="G36">
        <v>3932</v>
      </c>
      <c r="H36">
        <v>0.2450026672363281</v>
      </c>
      <c r="I36">
        <v>270</v>
      </c>
      <c r="J36" s="4">
        <v>44293.825833333343</v>
      </c>
      <c r="K36">
        <v>28.8</v>
      </c>
      <c r="L36">
        <v>24.8</v>
      </c>
      <c r="M36">
        <v>25.45</v>
      </c>
      <c r="N36">
        <v>1</v>
      </c>
      <c r="O36">
        <v>88</v>
      </c>
      <c r="P36">
        <v>0.25125870819091789</v>
      </c>
    </row>
    <row r="37" spans="1:16" x14ac:dyDescent="0.2">
      <c r="A37" s="3">
        <v>35</v>
      </c>
      <c r="B37" s="4">
        <v>44295.801377314812</v>
      </c>
      <c r="C37">
        <v>9</v>
      </c>
      <c r="D37">
        <v>8.8000000000000007</v>
      </c>
      <c r="E37">
        <v>9.1999999999999993</v>
      </c>
      <c r="F37">
        <v>51</v>
      </c>
      <c r="G37">
        <v>5987</v>
      </c>
      <c r="H37">
        <v>0.24341576904296869</v>
      </c>
      <c r="I37">
        <v>275</v>
      </c>
      <c r="J37" s="4">
        <v>44245.809444444443</v>
      </c>
      <c r="K37">
        <v>42.2</v>
      </c>
      <c r="L37">
        <v>49.25</v>
      </c>
      <c r="M37">
        <v>50.55</v>
      </c>
      <c r="N37">
        <v>71</v>
      </c>
      <c r="O37">
        <v>85</v>
      </c>
      <c r="P37">
        <v>0.56662420684814452</v>
      </c>
    </row>
    <row r="38" spans="1:16" x14ac:dyDescent="0.2">
      <c r="A38" s="3">
        <v>36</v>
      </c>
      <c r="B38" s="4">
        <v>44295.829768518517</v>
      </c>
      <c r="C38">
        <v>7.39</v>
      </c>
      <c r="D38">
        <v>7.3</v>
      </c>
      <c r="E38">
        <v>7.7</v>
      </c>
      <c r="F38">
        <v>170</v>
      </c>
      <c r="G38">
        <v>7299</v>
      </c>
      <c r="H38">
        <v>0.24176783630371099</v>
      </c>
      <c r="I38">
        <v>280</v>
      </c>
      <c r="J38" s="4">
        <v>44294.646736111114</v>
      </c>
      <c r="K38">
        <v>33.97</v>
      </c>
      <c r="L38">
        <v>0</v>
      </c>
      <c r="M38">
        <v>0</v>
      </c>
      <c r="N38">
        <v>1</v>
      </c>
      <c r="O38">
        <v>0</v>
      </c>
      <c r="P38">
        <v>1.0000000000000001E-5</v>
      </c>
    </row>
    <row r="39" spans="1:16" x14ac:dyDescent="0.2">
      <c r="A39" s="3">
        <v>37</v>
      </c>
      <c r="B39" s="4">
        <v>44295.817569444444</v>
      </c>
      <c r="C39">
        <v>6.2</v>
      </c>
      <c r="D39">
        <v>6</v>
      </c>
      <c r="E39">
        <v>6.45</v>
      </c>
      <c r="F39">
        <v>90</v>
      </c>
      <c r="G39">
        <v>3749</v>
      </c>
      <c r="H39">
        <v>0.24112697357177729</v>
      </c>
      <c r="I39">
        <v>285</v>
      </c>
      <c r="J39" s="4">
        <v>44244.855613425927</v>
      </c>
      <c r="K39">
        <v>49.2</v>
      </c>
      <c r="L39">
        <v>57.95</v>
      </c>
      <c r="M39">
        <v>59.25</v>
      </c>
      <c r="N39">
        <v>11</v>
      </c>
      <c r="O39">
        <v>20</v>
      </c>
      <c r="P39">
        <v>0.59692785888671884</v>
      </c>
    </row>
    <row r="40" spans="1:16" x14ac:dyDescent="0.2">
      <c r="A40" s="3">
        <v>38</v>
      </c>
      <c r="B40" s="4">
        <v>44295.737303240741</v>
      </c>
      <c r="C40">
        <v>5</v>
      </c>
      <c r="D40">
        <v>5.05</v>
      </c>
      <c r="E40">
        <v>5.35</v>
      </c>
      <c r="F40">
        <v>42</v>
      </c>
      <c r="G40">
        <v>4394</v>
      </c>
      <c r="H40">
        <v>0.24018093811035149</v>
      </c>
      <c r="I40">
        <v>290</v>
      </c>
      <c r="J40" s="4">
        <v>44286.777986111112</v>
      </c>
      <c r="K40">
        <v>57.9</v>
      </c>
      <c r="L40">
        <v>39.4</v>
      </c>
      <c r="M40">
        <v>40.15</v>
      </c>
      <c r="N40">
        <v>2</v>
      </c>
      <c r="O40">
        <v>14</v>
      </c>
      <c r="P40">
        <v>0.25250991638183601</v>
      </c>
    </row>
    <row r="41" spans="1:16" x14ac:dyDescent="0.2">
      <c r="A41" s="3">
        <v>39</v>
      </c>
      <c r="B41" s="4">
        <v>44295.823750000003</v>
      </c>
      <c r="C41">
        <v>4.1500000000000004</v>
      </c>
      <c r="D41">
        <v>3.9</v>
      </c>
      <c r="E41">
        <v>4.75</v>
      </c>
      <c r="F41">
        <v>74</v>
      </c>
      <c r="G41">
        <v>19981</v>
      </c>
      <c r="H41">
        <v>0.24616232360839849</v>
      </c>
      <c r="I41">
        <v>295</v>
      </c>
      <c r="J41" s="4">
        <v>44222.621550925927</v>
      </c>
      <c r="K41">
        <v>69.3</v>
      </c>
      <c r="L41">
        <v>65.8</v>
      </c>
      <c r="M41">
        <v>66.8</v>
      </c>
      <c r="N41">
        <v>15</v>
      </c>
      <c r="O41">
        <v>32</v>
      </c>
      <c r="P41">
        <v>0.60791407714843759</v>
      </c>
    </row>
    <row r="42" spans="1:16" x14ac:dyDescent="0.2">
      <c r="A42" s="3">
        <v>40</v>
      </c>
      <c r="B42" s="4">
        <v>44295.831319444442</v>
      </c>
      <c r="C42">
        <v>3.52</v>
      </c>
      <c r="D42">
        <v>3.45</v>
      </c>
      <c r="E42">
        <v>3.7</v>
      </c>
      <c r="F42">
        <v>104</v>
      </c>
      <c r="G42">
        <v>5501</v>
      </c>
      <c r="H42">
        <v>0.24039455902099599</v>
      </c>
      <c r="I42">
        <v>300</v>
      </c>
      <c r="J42" s="4">
        <v>44291.592222222222</v>
      </c>
      <c r="K42">
        <v>50.35</v>
      </c>
      <c r="L42">
        <v>47.65</v>
      </c>
      <c r="M42">
        <v>48.55</v>
      </c>
      <c r="N42">
        <v>1</v>
      </c>
      <c r="O42">
        <v>18</v>
      </c>
      <c r="P42">
        <v>0.25592785095214837</v>
      </c>
    </row>
    <row r="43" spans="1:16" x14ac:dyDescent="0.2">
      <c r="A43" s="3">
        <v>41</v>
      </c>
      <c r="B43" s="4">
        <v>44295.717835648153</v>
      </c>
      <c r="C43">
        <v>2.75</v>
      </c>
      <c r="D43">
        <v>2.83</v>
      </c>
      <c r="E43">
        <v>3.05</v>
      </c>
      <c r="F43">
        <v>1</v>
      </c>
      <c r="G43">
        <v>5407</v>
      </c>
      <c r="H43">
        <v>0.24036404174804679</v>
      </c>
      <c r="I43">
        <v>305</v>
      </c>
      <c r="J43" s="4">
        <v>44222.618020833332</v>
      </c>
      <c r="K43">
        <v>78.45</v>
      </c>
      <c r="L43">
        <v>75.099999999999994</v>
      </c>
      <c r="M43">
        <v>75.900000000000006</v>
      </c>
      <c r="N43">
        <v>3</v>
      </c>
      <c r="O43">
        <v>3</v>
      </c>
      <c r="P43">
        <v>0.63748531463623048</v>
      </c>
    </row>
    <row r="44" spans="1:16" x14ac:dyDescent="0.2">
      <c r="A44" s="3">
        <v>42</v>
      </c>
      <c r="B44" s="4">
        <v>44295.708611111113</v>
      </c>
      <c r="C44">
        <v>2.31</v>
      </c>
      <c r="D44">
        <v>2.13</v>
      </c>
      <c r="E44">
        <v>2.73</v>
      </c>
      <c r="F44">
        <v>6</v>
      </c>
      <c r="G44">
        <v>5790</v>
      </c>
      <c r="H44">
        <v>0.24646749633789061</v>
      </c>
      <c r="I44">
        <v>310</v>
      </c>
      <c r="J44" s="4">
        <v>44291.80673611111</v>
      </c>
      <c r="K44">
        <v>59.2</v>
      </c>
      <c r="L44">
        <v>56.55</v>
      </c>
      <c r="M44">
        <v>57.5</v>
      </c>
      <c r="N44">
        <v>26</v>
      </c>
      <c r="O44">
        <v>58</v>
      </c>
      <c r="P44">
        <v>0.26273320281982432</v>
      </c>
    </row>
    <row r="45" spans="1:16" x14ac:dyDescent="0.2">
      <c r="A45" s="3">
        <v>43</v>
      </c>
      <c r="B45" s="4">
        <v>44294.748865740738</v>
      </c>
      <c r="C45">
        <v>1.8</v>
      </c>
      <c r="D45">
        <v>1.75</v>
      </c>
      <c r="E45">
        <v>2.4900000000000002</v>
      </c>
      <c r="F45">
        <v>15</v>
      </c>
      <c r="G45">
        <v>222</v>
      </c>
      <c r="H45">
        <v>0.25354750366210937</v>
      </c>
      <c r="I45">
        <v>315</v>
      </c>
      <c r="J45" s="4">
        <v>44244.857812499999</v>
      </c>
      <c r="K45">
        <v>74.5</v>
      </c>
      <c r="L45">
        <v>85.9</v>
      </c>
      <c r="M45">
        <v>87.25</v>
      </c>
      <c r="O45">
        <v>11</v>
      </c>
      <c r="P45">
        <v>0.692385888671875</v>
      </c>
    </row>
    <row r="46" spans="1:16" x14ac:dyDescent="0.2">
      <c r="A46" s="3">
        <v>44</v>
      </c>
      <c r="B46" s="4">
        <v>44294.599293981482</v>
      </c>
      <c r="C46">
        <v>1.6</v>
      </c>
      <c r="D46">
        <v>1.56</v>
      </c>
      <c r="E46">
        <v>1.79</v>
      </c>
      <c r="F46">
        <v>1</v>
      </c>
      <c r="G46">
        <v>3083</v>
      </c>
      <c r="H46">
        <v>0.2446364599609375</v>
      </c>
      <c r="I46">
        <v>320</v>
      </c>
      <c r="J46" s="4">
        <v>44256.797893518517</v>
      </c>
      <c r="K46">
        <v>85.05</v>
      </c>
      <c r="L46">
        <v>82.65</v>
      </c>
      <c r="M46">
        <v>87.5</v>
      </c>
      <c r="N46">
        <v>2</v>
      </c>
      <c r="O46">
        <v>64</v>
      </c>
      <c r="P46">
        <v>0.61072166625976587</v>
      </c>
    </row>
    <row r="47" spans="1:16" x14ac:dyDescent="0.2">
      <c r="A47" s="3">
        <v>45</v>
      </c>
      <c r="B47" s="4">
        <v>44295.777199074073</v>
      </c>
      <c r="C47">
        <v>1.36</v>
      </c>
      <c r="D47">
        <v>1.34</v>
      </c>
      <c r="E47">
        <v>1.53</v>
      </c>
      <c r="F47">
        <v>1</v>
      </c>
      <c r="G47">
        <v>5102</v>
      </c>
      <c r="H47">
        <v>0.2473219799804687</v>
      </c>
      <c r="I47">
        <v>325</v>
      </c>
      <c r="J47" s="4">
        <v>44291.806805555563</v>
      </c>
      <c r="K47">
        <v>77.25</v>
      </c>
      <c r="L47">
        <v>70.650000000000006</v>
      </c>
      <c r="M47">
        <v>71.55</v>
      </c>
      <c r="N47">
        <v>3</v>
      </c>
      <c r="O47">
        <v>13</v>
      </c>
      <c r="P47">
        <v>0.27722890747070311</v>
      </c>
    </row>
    <row r="48" spans="1:16" x14ac:dyDescent="0.2">
      <c r="A48" s="3">
        <v>46</v>
      </c>
      <c r="B48" s="4">
        <v>44295.815960648149</v>
      </c>
      <c r="C48">
        <v>1.21</v>
      </c>
      <c r="D48">
        <v>1.1399999999999999</v>
      </c>
      <c r="E48">
        <v>1.31</v>
      </c>
      <c r="F48">
        <v>5</v>
      </c>
      <c r="G48">
        <v>5056</v>
      </c>
      <c r="H48">
        <v>0.25000749999999999</v>
      </c>
      <c r="I48">
        <v>330</v>
      </c>
      <c r="J48" s="4">
        <v>44246.631562499999</v>
      </c>
      <c r="K48">
        <v>90.6</v>
      </c>
      <c r="L48">
        <v>100.55</v>
      </c>
      <c r="M48">
        <v>101.75</v>
      </c>
      <c r="N48">
        <v>20</v>
      </c>
      <c r="O48">
        <v>20</v>
      </c>
      <c r="P48">
        <v>0.73947404083251944</v>
      </c>
    </row>
    <row r="49" spans="1:16" x14ac:dyDescent="0.2">
      <c r="A49" s="3">
        <v>47</v>
      </c>
      <c r="B49" s="4">
        <v>44295.777199074073</v>
      </c>
      <c r="C49">
        <v>1.03</v>
      </c>
      <c r="D49">
        <v>0.93</v>
      </c>
      <c r="E49">
        <v>1.1399999999999999</v>
      </c>
      <c r="F49">
        <v>1</v>
      </c>
      <c r="G49">
        <v>4129</v>
      </c>
      <c r="H49">
        <v>0.25342543457031252</v>
      </c>
      <c r="I49">
        <v>335</v>
      </c>
      <c r="J49" s="4">
        <v>44222.62709490741</v>
      </c>
      <c r="K49">
        <v>105.9</v>
      </c>
      <c r="L49">
        <v>103.3</v>
      </c>
      <c r="M49">
        <v>104.05</v>
      </c>
      <c r="N49">
        <v>1</v>
      </c>
      <c r="O49">
        <v>2</v>
      </c>
      <c r="P49">
        <v>0.71802039794921879</v>
      </c>
    </row>
    <row r="50" spans="1:16" x14ac:dyDescent="0.2">
      <c r="A50" s="3">
        <v>48</v>
      </c>
      <c r="B50" s="4">
        <v>44293.64203703704</v>
      </c>
      <c r="C50">
        <v>0.78</v>
      </c>
      <c r="D50">
        <v>0.89</v>
      </c>
      <c r="E50">
        <v>1</v>
      </c>
      <c r="F50">
        <v>1</v>
      </c>
      <c r="G50">
        <v>183</v>
      </c>
      <c r="H50">
        <v>0.25708750732421881</v>
      </c>
      <c r="I50">
        <v>340</v>
      </c>
      <c r="J50" s="4">
        <v>44295.818020833343</v>
      </c>
      <c r="K50">
        <v>85.7</v>
      </c>
      <c r="L50">
        <v>84.75</v>
      </c>
      <c r="M50">
        <v>86.05</v>
      </c>
      <c r="N50">
        <v>7</v>
      </c>
      <c r="O50">
        <v>7</v>
      </c>
      <c r="P50">
        <v>0.29608858215332029</v>
      </c>
    </row>
    <row r="51" spans="1:16" x14ac:dyDescent="0.2">
      <c r="A51" s="3">
        <v>49</v>
      </c>
      <c r="B51" s="4">
        <v>44295.816087962958</v>
      </c>
      <c r="C51">
        <v>0.8</v>
      </c>
      <c r="D51">
        <v>0.79</v>
      </c>
      <c r="E51">
        <v>0.89</v>
      </c>
      <c r="F51">
        <v>2</v>
      </c>
      <c r="G51">
        <v>3807</v>
      </c>
      <c r="H51">
        <v>0.2612378564453125</v>
      </c>
      <c r="I51">
        <v>345</v>
      </c>
      <c r="J51" s="4">
        <v>44251.61041666667</v>
      </c>
      <c r="K51">
        <v>115.2</v>
      </c>
      <c r="L51">
        <v>108.25</v>
      </c>
      <c r="M51">
        <v>109.95</v>
      </c>
      <c r="O51">
        <v>4</v>
      </c>
      <c r="P51">
        <v>0.67694414855957041</v>
      </c>
    </row>
    <row r="52" spans="1:16" x14ac:dyDescent="0.2">
      <c r="A52" s="3">
        <v>50</v>
      </c>
      <c r="B52" s="4">
        <v>44295.666203703702</v>
      </c>
      <c r="C52">
        <v>0.7</v>
      </c>
      <c r="D52">
        <v>0.7</v>
      </c>
      <c r="E52">
        <v>0.79</v>
      </c>
      <c r="F52">
        <v>10</v>
      </c>
      <c r="G52">
        <v>8730</v>
      </c>
      <c r="H52">
        <v>0.26514406738281249</v>
      </c>
      <c r="I52">
        <v>350</v>
      </c>
      <c r="J52" s="4">
        <v>44291.806701388887</v>
      </c>
      <c r="K52">
        <v>101.7</v>
      </c>
      <c r="L52">
        <v>94.5</v>
      </c>
      <c r="M52">
        <v>95.9</v>
      </c>
      <c r="N52">
        <v>1</v>
      </c>
      <c r="O52">
        <v>2</v>
      </c>
      <c r="P52">
        <v>0.31214066772460941</v>
      </c>
    </row>
    <row r="53" spans="1:16" x14ac:dyDescent="0.2">
      <c r="A53" s="3">
        <v>51</v>
      </c>
      <c r="B53" s="4">
        <v>44287.570023148153</v>
      </c>
      <c r="C53">
        <v>0.5</v>
      </c>
      <c r="D53">
        <v>0.54</v>
      </c>
      <c r="E53">
        <v>0.71</v>
      </c>
      <c r="F53">
        <v>1</v>
      </c>
      <c r="G53">
        <v>8939</v>
      </c>
      <c r="H53">
        <v>0.26929441650390618</v>
      </c>
      <c r="I53">
        <v>355</v>
      </c>
    </row>
    <row r="54" spans="1:16" x14ac:dyDescent="0.2">
      <c r="A54" s="3">
        <v>52</v>
      </c>
      <c r="B54" s="4">
        <v>44294.712696759263</v>
      </c>
      <c r="C54">
        <v>0.56000000000000005</v>
      </c>
      <c r="D54">
        <v>0.48</v>
      </c>
      <c r="E54">
        <v>0.65</v>
      </c>
      <c r="F54">
        <v>2</v>
      </c>
      <c r="G54">
        <v>324</v>
      </c>
      <c r="H54">
        <v>0.27417718017578119</v>
      </c>
      <c r="I54">
        <v>360</v>
      </c>
      <c r="J54" s="4">
        <v>44292.730497685188</v>
      </c>
      <c r="K54">
        <v>112.35</v>
      </c>
      <c r="L54">
        <v>0</v>
      </c>
      <c r="M54">
        <v>0</v>
      </c>
      <c r="N54">
        <v>15</v>
      </c>
      <c r="O54">
        <v>0</v>
      </c>
      <c r="P54">
        <v>1.0000000000000001E-5</v>
      </c>
    </row>
    <row r="55" spans="1:16" x14ac:dyDescent="0.2">
      <c r="A55" s="3">
        <v>53</v>
      </c>
      <c r="B55" s="4">
        <v>44294.582986111112</v>
      </c>
      <c r="C55">
        <v>0.5</v>
      </c>
      <c r="D55">
        <v>0</v>
      </c>
      <c r="E55">
        <v>0</v>
      </c>
      <c r="F55">
        <v>3</v>
      </c>
      <c r="G55">
        <v>0</v>
      </c>
      <c r="H55">
        <v>0.12500875</v>
      </c>
      <c r="I55">
        <v>370</v>
      </c>
      <c r="J55" s="4">
        <v>44292.73170138889</v>
      </c>
      <c r="K55">
        <v>122.2</v>
      </c>
      <c r="L55">
        <v>116.75</v>
      </c>
      <c r="M55">
        <v>118.9</v>
      </c>
      <c r="O55">
        <v>0</v>
      </c>
      <c r="P55">
        <v>0.44989563781738279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/>
  <dimension ref="A1:P50"/>
  <sheetViews>
    <sheetView workbookViewId="0"/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44258.607638888891</v>
      </c>
      <c r="C2">
        <v>118</v>
      </c>
      <c r="D2">
        <v>127.5</v>
      </c>
      <c r="E2">
        <v>128.4</v>
      </c>
      <c r="G2">
        <v>0</v>
      </c>
      <c r="H2">
        <v>1.0000000000000001E-5</v>
      </c>
      <c r="I2">
        <v>115</v>
      </c>
      <c r="J2" s="4">
        <v>44286.829351851848</v>
      </c>
      <c r="K2">
        <v>0.65</v>
      </c>
      <c r="L2">
        <v>0.36</v>
      </c>
      <c r="M2">
        <v>0.53</v>
      </c>
      <c r="N2">
        <v>52</v>
      </c>
      <c r="O2">
        <v>229</v>
      </c>
      <c r="P2">
        <v>0.53442848388671882</v>
      </c>
    </row>
    <row r="3" spans="1:16" x14ac:dyDescent="0.2">
      <c r="A3" s="3">
        <v>1</v>
      </c>
      <c r="B3" s="4">
        <v>44257.608043981483</v>
      </c>
      <c r="C3">
        <v>116.55</v>
      </c>
      <c r="D3">
        <v>121.65</v>
      </c>
      <c r="E3">
        <v>122.2</v>
      </c>
      <c r="F3">
        <v>1</v>
      </c>
      <c r="G3">
        <v>2</v>
      </c>
      <c r="H3">
        <v>1.0000000000000001E-5</v>
      </c>
      <c r="I3">
        <v>120</v>
      </c>
      <c r="J3" s="4">
        <v>44264.807083333333</v>
      </c>
      <c r="K3">
        <v>0.56000000000000005</v>
      </c>
      <c r="L3">
        <v>0.51</v>
      </c>
      <c r="M3">
        <v>0.59</v>
      </c>
      <c r="N3">
        <v>3</v>
      </c>
      <c r="O3">
        <v>220</v>
      </c>
      <c r="P3">
        <v>0.52539537109375001</v>
      </c>
    </row>
    <row r="4" spans="1:16" x14ac:dyDescent="0.2">
      <c r="A4" s="3">
        <v>2</v>
      </c>
      <c r="B4" s="4">
        <v>44259.764201388891</v>
      </c>
      <c r="C4">
        <v>102.5</v>
      </c>
      <c r="D4">
        <v>117.65</v>
      </c>
      <c r="E4">
        <v>118.5</v>
      </c>
      <c r="F4">
        <v>1</v>
      </c>
      <c r="G4">
        <v>2</v>
      </c>
      <c r="H4">
        <v>1.0000000000000001E-5</v>
      </c>
      <c r="I4">
        <v>125</v>
      </c>
      <c r="J4" s="4">
        <v>44291.618090277778</v>
      </c>
      <c r="K4">
        <v>0.63</v>
      </c>
      <c r="L4">
        <v>0.56999999999999995</v>
      </c>
      <c r="M4">
        <v>0.66</v>
      </c>
      <c r="N4">
        <v>1</v>
      </c>
      <c r="O4">
        <v>165</v>
      </c>
      <c r="P4">
        <v>0.50879397460937503</v>
      </c>
    </row>
    <row r="5" spans="1:16" x14ac:dyDescent="0.2">
      <c r="A5" s="3">
        <v>3</v>
      </c>
      <c r="B5" s="4">
        <v>44285.681458333333</v>
      </c>
      <c r="C5">
        <v>102.4</v>
      </c>
      <c r="D5">
        <v>124</v>
      </c>
      <c r="E5">
        <v>128.5</v>
      </c>
      <c r="F5">
        <v>3</v>
      </c>
      <c r="G5">
        <v>14</v>
      </c>
      <c r="H5">
        <v>0.6434361828613282</v>
      </c>
      <c r="I5">
        <v>130</v>
      </c>
      <c r="J5" s="4">
        <v>44291.624814814822</v>
      </c>
      <c r="K5">
        <v>0.74</v>
      </c>
      <c r="L5">
        <v>0.64</v>
      </c>
      <c r="M5">
        <v>0.73</v>
      </c>
      <c r="N5">
        <v>2</v>
      </c>
      <c r="O5">
        <v>382</v>
      </c>
      <c r="P5">
        <v>0.49756361816406258</v>
      </c>
    </row>
    <row r="6" spans="1:16" x14ac:dyDescent="0.2">
      <c r="A6" s="3">
        <v>4</v>
      </c>
      <c r="B6" s="4">
        <v>44253.640879629631</v>
      </c>
      <c r="C6">
        <v>97.95</v>
      </c>
      <c r="D6">
        <v>101.65</v>
      </c>
      <c r="E6">
        <v>103.35</v>
      </c>
      <c r="F6">
        <v>1</v>
      </c>
      <c r="G6">
        <v>3</v>
      </c>
      <c r="H6">
        <v>1.0000000000000001E-5</v>
      </c>
      <c r="I6">
        <v>135</v>
      </c>
      <c r="J6" s="4">
        <v>44286.697500000002</v>
      </c>
      <c r="K6">
        <v>1.01</v>
      </c>
      <c r="L6">
        <v>0.71</v>
      </c>
      <c r="M6">
        <v>0.8</v>
      </c>
      <c r="N6">
        <v>2</v>
      </c>
      <c r="O6">
        <v>223</v>
      </c>
      <c r="P6">
        <v>0.48047394531249998</v>
      </c>
    </row>
    <row r="7" spans="1:16" x14ac:dyDescent="0.2">
      <c r="A7" s="3">
        <v>5</v>
      </c>
      <c r="B7" s="4">
        <v>44280.659131944441</v>
      </c>
      <c r="C7">
        <v>107.92</v>
      </c>
      <c r="D7">
        <v>114.2</v>
      </c>
      <c r="E7">
        <v>118.5</v>
      </c>
      <c r="F7">
        <v>150</v>
      </c>
      <c r="G7">
        <v>158</v>
      </c>
      <c r="H7">
        <v>0.58325612060546872</v>
      </c>
      <c r="I7">
        <v>140</v>
      </c>
      <c r="J7" s="4">
        <v>44273.831736111111</v>
      </c>
      <c r="K7">
        <v>1.55</v>
      </c>
      <c r="L7">
        <v>0.74</v>
      </c>
      <c r="M7">
        <v>0.89</v>
      </c>
      <c r="N7">
        <v>1</v>
      </c>
      <c r="O7">
        <v>252</v>
      </c>
      <c r="P7">
        <v>0.46509323974609379</v>
      </c>
    </row>
    <row r="8" spans="1:16" x14ac:dyDescent="0.2">
      <c r="A8" s="3">
        <v>6</v>
      </c>
      <c r="B8" s="4">
        <v>44259.823738425926</v>
      </c>
      <c r="C8">
        <v>79.349999999999994</v>
      </c>
      <c r="D8">
        <v>93.15</v>
      </c>
      <c r="E8">
        <v>94.05</v>
      </c>
      <c r="F8">
        <v>1</v>
      </c>
      <c r="G8">
        <v>3</v>
      </c>
      <c r="H8">
        <v>1.0000000000000001E-5</v>
      </c>
      <c r="I8">
        <v>150</v>
      </c>
      <c r="J8" s="4">
        <v>44293.829108796293</v>
      </c>
      <c r="K8">
        <v>1.01</v>
      </c>
      <c r="L8">
        <v>0.92</v>
      </c>
      <c r="M8">
        <v>1.08</v>
      </c>
      <c r="N8">
        <v>1</v>
      </c>
      <c r="O8">
        <v>84</v>
      </c>
      <c r="P8">
        <v>0.43384355224609378</v>
      </c>
    </row>
    <row r="9" spans="1:16" x14ac:dyDescent="0.2">
      <c r="A9" s="3">
        <v>7</v>
      </c>
      <c r="B9" s="4">
        <v>44291.568483796298</v>
      </c>
      <c r="C9">
        <v>90.29</v>
      </c>
      <c r="D9">
        <v>99.45</v>
      </c>
      <c r="E9">
        <v>104</v>
      </c>
      <c r="F9">
        <v>15</v>
      </c>
      <c r="G9">
        <v>51</v>
      </c>
      <c r="H9">
        <v>0.52270985107421875</v>
      </c>
      <c r="I9">
        <v>155</v>
      </c>
      <c r="J9" s="4">
        <v>44270.736956018518</v>
      </c>
      <c r="K9">
        <v>2.31</v>
      </c>
      <c r="L9">
        <v>1.05</v>
      </c>
      <c r="M9">
        <v>1.19</v>
      </c>
      <c r="N9">
        <v>1</v>
      </c>
      <c r="O9">
        <v>187</v>
      </c>
      <c r="P9">
        <v>0.41882905395507808</v>
      </c>
    </row>
    <row r="10" spans="1:16" x14ac:dyDescent="0.2">
      <c r="A10" s="3">
        <v>8</v>
      </c>
      <c r="B10" s="4">
        <v>44274.696412037039</v>
      </c>
      <c r="C10">
        <v>92.61</v>
      </c>
      <c r="D10">
        <v>94.7</v>
      </c>
      <c r="E10">
        <v>99</v>
      </c>
      <c r="F10">
        <v>10</v>
      </c>
      <c r="G10">
        <v>59</v>
      </c>
      <c r="H10">
        <v>0.49579361633300789</v>
      </c>
      <c r="I10">
        <v>160</v>
      </c>
      <c r="J10" s="4">
        <v>44291.690185185187</v>
      </c>
      <c r="K10">
        <v>1.4</v>
      </c>
      <c r="L10">
        <v>1.2</v>
      </c>
      <c r="M10">
        <v>1.32</v>
      </c>
      <c r="N10">
        <v>1</v>
      </c>
      <c r="O10">
        <v>748</v>
      </c>
      <c r="P10">
        <v>0.40466903930664061</v>
      </c>
    </row>
    <row r="11" spans="1:16" x14ac:dyDescent="0.2">
      <c r="A11" s="3">
        <v>9</v>
      </c>
      <c r="B11" s="4">
        <v>44279.750300925924</v>
      </c>
      <c r="C11">
        <v>74.400000000000006</v>
      </c>
      <c r="D11">
        <v>89.75</v>
      </c>
      <c r="E11">
        <v>94.2</v>
      </c>
      <c r="F11">
        <v>100</v>
      </c>
      <c r="G11">
        <v>104</v>
      </c>
      <c r="H11">
        <v>0.47748325256347662</v>
      </c>
      <c r="I11">
        <v>165</v>
      </c>
      <c r="J11" s="4">
        <v>44294.586296296293</v>
      </c>
      <c r="K11">
        <v>1.38</v>
      </c>
      <c r="L11">
        <v>1.35</v>
      </c>
      <c r="M11">
        <v>1.47</v>
      </c>
      <c r="N11">
        <v>1</v>
      </c>
      <c r="O11">
        <v>278</v>
      </c>
      <c r="P11">
        <v>0.39111937011718739</v>
      </c>
    </row>
    <row r="12" spans="1:16" x14ac:dyDescent="0.2">
      <c r="A12" s="3">
        <v>10</v>
      </c>
      <c r="B12" s="4">
        <v>44293.810520833344</v>
      </c>
      <c r="C12">
        <v>80.400000000000006</v>
      </c>
      <c r="D12">
        <v>85</v>
      </c>
      <c r="E12">
        <v>89.35</v>
      </c>
      <c r="F12">
        <v>1</v>
      </c>
      <c r="G12">
        <v>202</v>
      </c>
      <c r="H12">
        <v>0.45715874877929702</v>
      </c>
      <c r="I12">
        <v>170</v>
      </c>
      <c r="J12" s="4">
        <v>44291.651493055557</v>
      </c>
      <c r="K12">
        <v>1.72</v>
      </c>
      <c r="L12">
        <v>1.53</v>
      </c>
      <c r="M12">
        <v>1.64</v>
      </c>
      <c r="N12">
        <v>1</v>
      </c>
      <c r="O12">
        <v>206</v>
      </c>
      <c r="P12">
        <v>0.37805797729492191</v>
      </c>
    </row>
    <row r="13" spans="1:16" x14ac:dyDescent="0.2">
      <c r="A13" s="3">
        <v>11</v>
      </c>
      <c r="B13" s="4">
        <v>44293.810520833344</v>
      </c>
      <c r="C13">
        <v>76.5</v>
      </c>
      <c r="D13">
        <v>80.150000000000006</v>
      </c>
      <c r="E13">
        <v>84.05</v>
      </c>
      <c r="F13">
        <v>1</v>
      </c>
      <c r="G13">
        <v>41</v>
      </c>
      <c r="H13">
        <v>0.42096526306152349</v>
      </c>
      <c r="I13">
        <v>175</v>
      </c>
      <c r="J13" s="4">
        <v>44295.728171296287</v>
      </c>
      <c r="K13">
        <v>1.82</v>
      </c>
      <c r="L13">
        <v>1.72</v>
      </c>
      <c r="M13">
        <v>1.84</v>
      </c>
      <c r="N13">
        <v>2</v>
      </c>
      <c r="O13">
        <v>1639</v>
      </c>
      <c r="P13">
        <v>0.36560692993164062</v>
      </c>
    </row>
    <row r="14" spans="1:16" x14ac:dyDescent="0.2">
      <c r="A14" s="3">
        <v>12</v>
      </c>
      <c r="B14" s="4">
        <v>44287.783900462957</v>
      </c>
      <c r="C14">
        <v>70.599999999999994</v>
      </c>
      <c r="D14">
        <v>76.95</v>
      </c>
      <c r="E14">
        <v>78.3</v>
      </c>
      <c r="F14">
        <v>1</v>
      </c>
      <c r="G14">
        <v>12</v>
      </c>
      <c r="H14">
        <v>0.3687807263183594</v>
      </c>
      <c r="I14">
        <v>180</v>
      </c>
      <c r="J14" s="4">
        <v>44295.832395833328</v>
      </c>
      <c r="K14">
        <v>2.0099999999999998</v>
      </c>
      <c r="L14">
        <v>1.95</v>
      </c>
      <c r="M14">
        <v>2.0699999999999998</v>
      </c>
      <c r="N14">
        <v>1</v>
      </c>
      <c r="O14">
        <v>91</v>
      </c>
      <c r="P14">
        <v>0.35358312438964828</v>
      </c>
    </row>
    <row r="15" spans="1:16" x14ac:dyDescent="0.2">
      <c r="A15" s="3">
        <v>13</v>
      </c>
      <c r="B15" s="4">
        <v>44287.587847222218</v>
      </c>
      <c r="C15">
        <v>58.65</v>
      </c>
      <c r="D15">
        <v>72.2</v>
      </c>
      <c r="E15">
        <v>73.5</v>
      </c>
      <c r="F15">
        <v>1</v>
      </c>
      <c r="G15">
        <v>14</v>
      </c>
      <c r="H15">
        <v>0.35340002075195309</v>
      </c>
      <c r="I15">
        <v>185</v>
      </c>
      <c r="J15" s="4">
        <v>44295.695381944453</v>
      </c>
      <c r="K15">
        <v>2.33</v>
      </c>
      <c r="L15">
        <v>2.2200000000000002</v>
      </c>
      <c r="M15">
        <v>2.4500000000000002</v>
      </c>
      <c r="N15">
        <v>27</v>
      </c>
      <c r="O15">
        <v>238</v>
      </c>
      <c r="P15">
        <v>0.34638104797363278</v>
      </c>
    </row>
    <row r="16" spans="1:16" x14ac:dyDescent="0.2">
      <c r="A16" s="3">
        <v>14</v>
      </c>
      <c r="B16" s="4">
        <v>44291.621388888889</v>
      </c>
      <c r="C16">
        <v>62.16</v>
      </c>
      <c r="D16">
        <v>67.55</v>
      </c>
      <c r="E16">
        <v>68.849999999999994</v>
      </c>
      <c r="F16">
        <v>3</v>
      </c>
      <c r="G16">
        <v>148</v>
      </c>
      <c r="H16">
        <v>0.34265794067382799</v>
      </c>
      <c r="I16">
        <v>190</v>
      </c>
      <c r="J16" s="4">
        <v>44295.824479166673</v>
      </c>
      <c r="K16">
        <v>2.62</v>
      </c>
      <c r="L16">
        <v>2.5299999999999998</v>
      </c>
      <c r="M16">
        <v>2.65</v>
      </c>
      <c r="N16">
        <v>2</v>
      </c>
      <c r="O16">
        <v>1674</v>
      </c>
      <c r="P16">
        <v>0.33112241149902338</v>
      </c>
    </row>
    <row r="17" spans="1:16" x14ac:dyDescent="0.2">
      <c r="A17" s="3">
        <v>15</v>
      </c>
      <c r="B17" s="4">
        <v>44291.676979166667</v>
      </c>
      <c r="C17">
        <v>57.25</v>
      </c>
      <c r="D17">
        <v>62.95</v>
      </c>
      <c r="E17">
        <v>64.2</v>
      </c>
      <c r="F17">
        <v>50</v>
      </c>
      <c r="G17">
        <v>49</v>
      </c>
      <c r="H17">
        <v>0.33063413513183593</v>
      </c>
      <c r="I17">
        <v>195</v>
      </c>
      <c r="J17" s="4">
        <v>44295.824664351851</v>
      </c>
      <c r="K17">
        <v>3.05</v>
      </c>
      <c r="L17">
        <v>2.93</v>
      </c>
      <c r="M17">
        <v>3.1</v>
      </c>
      <c r="N17">
        <v>1020</v>
      </c>
      <c r="O17">
        <v>351</v>
      </c>
      <c r="P17">
        <v>0.32330998962402341</v>
      </c>
    </row>
    <row r="18" spans="1:16" x14ac:dyDescent="0.2">
      <c r="A18" s="3">
        <v>16</v>
      </c>
      <c r="B18" s="4">
        <v>44295.752175925933</v>
      </c>
      <c r="C18">
        <v>58.05</v>
      </c>
      <c r="D18">
        <v>58.5</v>
      </c>
      <c r="E18">
        <v>59.65</v>
      </c>
      <c r="F18">
        <v>30</v>
      </c>
      <c r="G18">
        <v>63</v>
      </c>
      <c r="H18">
        <v>0.32031929687499988</v>
      </c>
      <c r="I18">
        <v>200</v>
      </c>
      <c r="J18" s="4">
        <v>44295.566030092603</v>
      </c>
      <c r="K18">
        <v>3.6</v>
      </c>
      <c r="L18">
        <v>3.35</v>
      </c>
      <c r="M18">
        <v>3.6</v>
      </c>
      <c r="N18">
        <v>15</v>
      </c>
      <c r="O18">
        <v>2673</v>
      </c>
      <c r="P18">
        <v>0.31507032592773432</v>
      </c>
    </row>
    <row r="19" spans="1:16" x14ac:dyDescent="0.2">
      <c r="A19" s="3">
        <v>17</v>
      </c>
      <c r="B19" s="4">
        <v>44292.562511574077</v>
      </c>
      <c r="C19">
        <v>47.85</v>
      </c>
      <c r="D19">
        <v>54.2</v>
      </c>
      <c r="E19">
        <v>54.9</v>
      </c>
      <c r="F19">
        <v>1</v>
      </c>
      <c r="G19">
        <v>420</v>
      </c>
      <c r="H19">
        <v>0.30359583129882811</v>
      </c>
      <c r="I19">
        <v>205</v>
      </c>
      <c r="J19" s="4">
        <v>44293.829108796293</v>
      </c>
      <c r="K19">
        <v>4.6399999999999997</v>
      </c>
      <c r="L19">
        <v>3.9</v>
      </c>
      <c r="M19">
        <v>4.1500000000000004</v>
      </c>
      <c r="N19">
        <v>7</v>
      </c>
      <c r="O19">
        <v>1306</v>
      </c>
      <c r="P19">
        <v>0.30640342041015622</v>
      </c>
    </row>
    <row r="20" spans="1:16" x14ac:dyDescent="0.2">
      <c r="A20" s="3">
        <v>18</v>
      </c>
      <c r="B20" s="4">
        <v>44294.595324074071</v>
      </c>
      <c r="C20">
        <v>48.1</v>
      </c>
      <c r="D20">
        <v>49.75</v>
      </c>
      <c r="E20">
        <v>50.8</v>
      </c>
      <c r="F20">
        <v>36</v>
      </c>
      <c r="G20">
        <v>184</v>
      </c>
      <c r="H20">
        <v>0.30158169128417972</v>
      </c>
      <c r="I20">
        <v>210</v>
      </c>
      <c r="J20" s="4">
        <v>44295.825092592589</v>
      </c>
      <c r="K20">
        <v>4.75</v>
      </c>
      <c r="L20">
        <v>4.55</v>
      </c>
      <c r="M20">
        <v>4.8</v>
      </c>
      <c r="N20">
        <v>7</v>
      </c>
      <c r="O20">
        <v>821</v>
      </c>
      <c r="P20">
        <v>0.29834686035156238</v>
      </c>
    </row>
    <row r="21" spans="1:16" x14ac:dyDescent="0.2">
      <c r="A21" s="3">
        <v>19</v>
      </c>
      <c r="B21" s="4">
        <v>44294.802430555559</v>
      </c>
      <c r="C21">
        <v>43.82</v>
      </c>
      <c r="D21">
        <v>45.6</v>
      </c>
      <c r="E21">
        <v>46.4</v>
      </c>
      <c r="F21">
        <v>24</v>
      </c>
      <c r="G21">
        <v>540</v>
      </c>
      <c r="H21">
        <v>0.2903513348388671</v>
      </c>
      <c r="I21">
        <v>215</v>
      </c>
      <c r="J21" s="4">
        <v>44295.613495370373</v>
      </c>
      <c r="K21">
        <v>5.64</v>
      </c>
      <c r="L21">
        <v>5.3</v>
      </c>
      <c r="M21">
        <v>5.6</v>
      </c>
      <c r="N21">
        <v>13</v>
      </c>
      <c r="O21">
        <v>1087</v>
      </c>
      <c r="P21">
        <v>0.29163306030273428</v>
      </c>
    </row>
    <row r="22" spans="1:16" x14ac:dyDescent="0.2">
      <c r="A22" s="3">
        <v>20</v>
      </c>
      <c r="B22" s="4">
        <v>44294.595694444448</v>
      </c>
      <c r="C22">
        <v>39.92</v>
      </c>
      <c r="D22">
        <v>41.6</v>
      </c>
      <c r="E22">
        <v>42.4</v>
      </c>
      <c r="F22">
        <v>3</v>
      </c>
      <c r="G22">
        <v>173</v>
      </c>
      <c r="H22">
        <v>0.28546857116699209</v>
      </c>
      <c r="I22">
        <v>220</v>
      </c>
      <c r="J22" s="4">
        <v>44295.820902777778</v>
      </c>
      <c r="K22">
        <v>6.5</v>
      </c>
      <c r="L22">
        <v>6.25</v>
      </c>
      <c r="M22">
        <v>6.55</v>
      </c>
      <c r="N22">
        <v>176</v>
      </c>
      <c r="O22">
        <v>3476</v>
      </c>
      <c r="P22">
        <v>0.2857127093505859</v>
      </c>
    </row>
    <row r="23" spans="1:16" x14ac:dyDescent="0.2">
      <c r="A23" s="3">
        <v>21</v>
      </c>
      <c r="B23" s="4">
        <v>44295.817789351851</v>
      </c>
      <c r="C23">
        <v>37.619999999999997</v>
      </c>
      <c r="D23">
        <v>37.700000000000003</v>
      </c>
      <c r="E23">
        <v>38.5</v>
      </c>
      <c r="F23">
        <v>5</v>
      </c>
      <c r="G23">
        <v>139</v>
      </c>
      <c r="H23">
        <v>0.27997546203613283</v>
      </c>
      <c r="I23">
        <v>225</v>
      </c>
      <c r="J23" s="4">
        <v>44295.717997685177</v>
      </c>
      <c r="K23">
        <v>7.69</v>
      </c>
      <c r="L23">
        <v>7.3</v>
      </c>
      <c r="M23">
        <v>7.6</v>
      </c>
      <c r="N23">
        <v>1</v>
      </c>
      <c r="O23">
        <v>527</v>
      </c>
      <c r="P23">
        <v>0.27927356475830079</v>
      </c>
    </row>
    <row r="24" spans="1:16" x14ac:dyDescent="0.2">
      <c r="A24" s="3">
        <v>22</v>
      </c>
      <c r="B24" s="4">
        <v>44295.817789351851</v>
      </c>
      <c r="C24">
        <v>34.299999999999997</v>
      </c>
      <c r="D24">
        <v>33.75</v>
      </c>
      <c r="E24">
        <v>34.6</v>
      </c>
      <c r="F24">
        <v>28</v>
      </c>
      <c r="G24">
        <v>529</v>
      </c>
      <c r="H24">
        <v>0.27207148834228512</v>
      </c>
      <c r="I24">
        <v>230</v>
      </c>
      <c r="J24" s="4">
        <v>44295.73</v>
      </c>
      <c r="K24">
        <v>8.9499999999999993</v>
      </c>
      <c r="L24">
        <v>8.5500000000000007</v>
      </c>
      <c r="M24">
        <v>8.85</v>
      </c>
      <c r="N24">
        <v>141</v>
      </c>
      <c r="O24">
        <v>996</v>
      </c>
      <c r="P24">
        <v>0.27393304199218749</v>
      </c>
    </row>
    <row r="25" spans="1:16" x14ac:dyDescent="0.2">
      <c r="A25" s="3">
        <v>23</v>
      </c>
      <c r="B25" s="4">
        <v>44295.650081018517</v>
      </c>
      <c r="C25">
        <v>29.6</v>
      </c>
      <c r="D25">
        <v>30.4</v>
      </c>
      <c r="E25">
        <v>31.05</v>
      </c>
      <c r="F25">
        <v>16</v>
      </c>
      <c r="G25">
        <v>199</v>
      </c>
      <c r="H25">
        <v>0.2675244146728516</v>
      </c>
      <c r="I25">
        <v>235</v>
      </c>
      <c r="J25" s="4">
        <v>44295.770509259259</v>
      </c>
      <c r="K25">
        <v>10.5</v>
      </c>
      <c r="L25">
        <v>9.9499999999999993</v>
      </c>
      <c r="M25">
        <v>10.3</v>
      </c>
      <c r="N25">
        <v>3</v>
      </c>
      <c r="O25">
        <v>529</v>
      </c>
      <c r="P25">
        <v>0.26926389923095712</v>
      </c>
    </row>
    <row r="26" spans="1:16" x14ac:dyDescent="0.2">
      <c r="A26" s="3">
        <v>24</v>
      </c>
      <c r="B26" s="4">
        <v>44295.723310185182</v>
      </c>
      <c r="C26">
        <v>26.25</v>
      </c>
      <c r="D26">
        <v>27.05</v>
      </c>
      <c r="E26">
        <v>27.9</v>
      </c>
      <c r="F26">
        <v>343</v>
      </c>
      <c r="G26">
        <v>622</v>
      </c>
      <c r="H26">
        <v>0.2663342410278321</v>
      </c>
      <c r="I26">
        <v>240</v>
      </c>
      <c r="J26" s="4">
        <v>44295.764675925922</v>
      </c>
      <c r="K26">
        <v>12.25</v>
      </c>
      <c r="L26">
        <v>11.6</v>
      </c>
      <c r="M26">
        <v>12</v>
      </c>
      <c r="N26">
        <v>63</v>
      </c>
      <c r="O26">
        <v>615</v>
      </c>
      <c r="P26">
        <v>0.26578493011474608</v>
      </c>
    </row>
    <row r="27" spans="1:16" x14ac:dyDescent="0.2">
      <c r="A27" s="3">
        <v>25</v>
      </c>
      <c r="B27" s="4">
        <v>44295.829259259262</v>
      </c>
      <c r="C27">
        <v>23.9</v>
      </c>
      <c r="D27">
        <v>24</v>
      </c>
      <c r="E27">
        <v>24.6</v>
      </c>
      <c r="F27">
        <v>272</v>
      </c>
      <c r="G27">
        <v>376</v>
      </c>
      <c r="H27">
        <v>0.26010871734619151</v>
      </c>
      <c r="I27">
        <v>245</v>
      </c>
      <c r="J27" s="4">
        <v>44295.812152777777</v>
      </c>
      <c r="K27">
        <v>14.1</v>
      </c>
      <c r="L27">
        <v>13.45</v>
      </c>
      <c r="M27">
        <v>13.9</v>
      </c>
      <c r="N27">
        <v>6</v>
      </c>
      <c r="O27">
        <v>102</v>
      </c>
      <c r="P27">
        <v>0.26242803009033211</v>
      </c>
    </row>
    <row r="28" spans="1:16" x14ac:dyDescent="0.2">
      <c r="A28" s="3">
        <v>26</v>
      </c>
      <c r="B28" s="4">
        <v>44295.833124999997</v>
      </c>
      <c r="C28">
        <v>21.5</v>
      </c>
      <c r="D28">
        <v>21.1</v>
      </c>
      <c r="E28">
        <v>21.65</v>
      </c>
      <c r="F28">
        <v>45</v>
      </c>
      <c r="G28">
        <v>626</v>
      </c>
      <c r="H28">
        <v>0.25615673049926763</v>
      </c>
      <c r="I28">
        <v>250</v>
      </c>
      <c r="J28" s="4">
        <v>44295.815034722233</v>
      </c>
      <c r="K28">
        <v>16.02</v>
      </c>
      <c r="L28">
        <v>15.55</v>
      </c>
      <c r="M28">
        <v>16</v>
      </c>
      <c r="N28">
        <v>27</v>
      </c>
      <c r="O28">
        <v>148</v>
      </c>
      <c r="P28">
        <v>0.25913216461181637</v>
      </c>
    </row>
    <row r="29" spans="1:16" x14ac:dyDescent="0.2">
      <c r="A29" s="3">
        <v>27</v>
      </c>
      <c r="B29" s="4">
        <v>44295.82707175926</v>
      </c>
      <c r="C29">
        <v>18.399999999999999</v>
      </c>
      <c r="D29">
        <v>18.399999999999999</v>
      </c>
      <c r="E29">
        <v>19.05</v>
      </c>
      <c r="F29">
        <v>67</v>
      </c>
      <c r="G29">
        <v>391</v>
      </c>
      <c r="H29">
        <v>0.25421888366699219</v>
      </c>
      <c r="I29">
        <v>255</v>
      </c>
      <c r="J29" s="4">
        <v>44295.722569444442</v>
      </c>
      <c r="K29">
        <v>18.68</v>
      </c>
      <c r="L29">
        <v>17.95</v>
      </c>
      <c r="M29">
        <v>18.3</v>
      </c>
      <c r="N29">
        <v>80</v>
      </c>
      <c r="O29">
        <v>85</v>
      </c>
      <c r="P29">
        <v>0.25577526458740241</v>
      </c>
    </row>
    <row r="30" spans="1:16" x14ac:dyDescent="0.2">
      <c r="A30" s="3">
        <v>28</v>
      </c>
      <c r="B30" s="4">
        <v>44295.831585648149</v>
      </c>
      <c r="C30">
        <v>16.399999999999999</v>
      </c>
      <c r="D30">
        <v>16</v>
      </c>
      <c r="E30">
        <v>16.600000000000001</v>
      </c>
      <c r="F30">
        <v>668</v>
      </c>
      <c r="G30">
        <v>542</v>
      </c>
      <c r="H30">
        <v>0.2515028463745117</v>
      </c>
      <c r="I30">
        <v>260</v>
      </c>
      <c r="J30" s="4">
        <v>44294.605115740742</v>
      </c>
      <c r="K30">
        <v>21.85</v>
      </c>
      <c r="L30">
        <v>0</v>
      </c>
      <c r="M30">
        <v>0</v>
      </c>
      <c r="N30">
        <v>5</v>
      </c>
      <c r="O30">
        <v>0</v>
      </c>
      <c r="P30">
        <v>1.0000000000000001E-5</v>
      </c>
    </row>
    <row r="31" spans="1:16" x14ac:dyDescent="0.2">
      <c r="A31" s="3">
        <v>29</v>
      </c>
      <c r="B31" s="4">
        <v>44295.79005787037</v>
      </c>
      <c r="C31">
        <v>13.37</v>
      </c>
      <c r="D31">
        <v>13.9</v>
      </c>
      <c r="E31">
        <v>14.35</v>
      </c>
      <c r="F31">
        <v>29</v>
      </c>
      <c r="G31">
        <v>604</v>
      </c>
      <c r="H31">
        <v>0.24863422271728519</v>
      </c>
      <c r="I31">
        <v>265</v>
      </c>
      <c r="J31" s="4">
        <v>44294.568923611107</v>
      </c>
      <c r="K31">
        <v>24.65</v>
      </c>
      <c r="L31">
        <v>0</v>
      </c>
      <c r="M31">
        <v>0</v>
      </c>
      <c r="N31">
        <v>1</v>
      </c>
      <c r="O31">
        <v>0</v>
      </c>
      <c r="P31">
        <v>1.0000000000000001E-5</v>
      </c>
    </row>
    <row r="32" spans="1:16" x14ac:dyDescent="0.2">
      <c r="A32" s="3">
        <v>30</v>
      </c>
      <c r="B32" s="4">
        <v>44295.818136574067</v>
      </c>
      <c r="C32">
        <v>11.95</v>
      </c>
      <c r="D32">
        <v>11.9</v>
      </c>
      <c r="E32">
        <v>12.4</v>
      </c>
      <c r="F32">
        <v>9</v>
      </c>
      <c r="G32">
        <v>357</v>
      </c>
      <c r="H32">
        <v>0.247077841796875</v>
      </c>
      <c r="I32">
        <v>270</v>
      </c>
    </row>
    <row r="33" spans="1:16" x14ac:dyDescent="0.2">
      <c r="A33" s="3">
        <v>31</v>
      </c>
      <c r="B33" s="4">
        <v>44295.82849537037</v>
      </c>
      <c r="C33">
        <v>10.15</v>
      </c>
      <c r="D33">
        <v>10.25</v>
      </c>
      <c r="E33">
        <v>10.65</v>
      </c>
      <c r="F33">
        <v>5</v>
      </c>
      <c r="G33">
        <v>309</v>
      </c>
      <c r="H33">
        <v>0.24558249542236329</v>
      </c>
      <c r="I33">
        <v>275</v>
      </c>
    </row>
    <row r="34" spans="1:16" x14ac:dyDescent="0.2">
      <c r="A34" s="3">
        <v>32</v>
      </c>
      <c r="B34" s="4">
        <v>44295.788472222222</v>
      </c>
      <c r="C34">
        <v>8.8000000000000007</v>
      </c>
      <c r="D34">
        <v>8.6999999999999993</v>
      </c>
      <c r="E34">
        <v>9.0500000000000007</v>
      </c>
      <c r="F34">
        <v>51</v>
      </c>
      <c r="G34">
        <v>168</v>
      </c>
      <c r="H34">
        <v>0.2435073208618164</v>
      </c>
      <c r="I34">
        <v>280</v>
      </c>
      <c r="J34" s="4">
        <v>44279.642523148148</v>
      </c>
      <c r="K34">
        <v>47.81</v>
      </c>
      <c r="L34">
        <v>32.85</v>
      </c>
      <c r="M34">
        <v>33.5</v>
      </c>
      <c r="N34">
        <v>6</v>
      </c>
      <c r="O34">
        <v>2</v>
      </c>
      <c r="P34">
        <v>0.24817646362304691</v>
      </c>
    </row>
    <row r="35" spans="1:16" x14ac:dyDescent="0.2">
      <c r="A35" s="3">
        <v>33</v>
      </c>
      <c r="B35" s="4">
        <v>44295.724421296298</v>
      </c>
      <c r="C35">
        <v>7.14</v>
      </c>
      <c r="D35">
        <v>7.3</v>
      </c>
      <c r="E35">
        <v>7.7</v>
      </c>
      <c r="F35">
        <v>189</v>
      </c>
      <c r="G35">
        <v>376</v>
      </c>
      <c r="H35">
        <v>0.24246973358154289</v>
      </c>
      <c r="I35">
        <v>285</v>
      </c>
    </row>
    <row r="36" spans="1:16" x14ac:dyDescent="0.2">
      <c r="A36" s="3">
        <v>34</v>
      </c>
      <c r="B36" s="4">
        <v>44295.730324074073</v>
      </c>
      <c r="C36">
        <v>6.03</v>
      </c>
      <c r="D36">
        <v>6.2</v>
      </c>
      <c r="E36">
        <v>6.5</v>
      </c>
      <c r="F36">
        <v>2</v>
      </c>
      <c r="G36">
        <v>227</v>
      </c>
      <c r="H36">
        <v>0.24124904266357419</v>
      </c>
      <c r="I36">
        <v>290</v>
      </c>
    </row>
    <row r="37" spans="1:16" x14ac:dyDescent="0.2">
      <c r="A37" s="3">
        <v>35</v>
      </c>
      <c r="B37" s="4">
        <v>44295.809571759259</v>
      </c>
      <c r="C37">
        <v>5.15</v>
      </c>
      <c r="D37">
        <v>5.2</v>
      </c>
      <c r="E37">
        <v>5.5</v>
      </c>
      <c r="F37">
        <v>8</v>
      </c>
      <c r="G37">
        <v>234</v>
      </c>
      <c r="H37">
        <v>0.24085231811523439</v>
      </c>
      <c r="I37">
        <v>295</v>
      </c>
      <c r="J37" s="4">
        <v>44286.767025462963</v>
      </c>
      <c r="K37">
        <v>62.85</v>
      </c>
      <c r="L37">
        <v>44.4</v>
      </c>
      <c r="M37">
        <v>45.2</v>
      </c>
      <c r="O37">
        <v>6</v>
      </c>
      <c r="P37">
        <v>0.2508009490966796</v>
      </c>
    </row>
    <row r="38" spans="1:16" x14ac:dyDescent="0.2">
      <c r="A38" s="3">
        <v>36</v>
      </c>
      <c r="B38" s="4">
        <v>44295.818287037036</v>
      </c>
      <c r="C38">
        <v>4.45</v>
      </c>
      <c r="D38">
        <v>4.3</v>
      </c>
      <c r="E38">
        <v>4.5</v>
      </c>
      <c r="F38">
        <v>56</v>
      </c>
      <c r="G38">
        <v>327</v>
      </c>
      <c r="H38">
        <v>0.23789214263916009</v>
      </c>
      <c r="I38">
        <v>300</v>
      </c>
      <c r="J38" s="4">
        <v>44280.664421296293</v>
      </c>
      <c r="K38">
        <v>70.150000000000006</v>
      </c>
      <c r="L38">
        <v>48.55</v>
      </c>
      <c r="M38">
        <v>49.35</v>
      </c>
      <c r="O38">
        <v>10</v>
      </c>
      <c r="P38">
        <v>0.2515028463745117</v>
      </c>
    </row>
    <row r="39" spans="1:16" x14ac:dyDescent="0.2">
      <c r="A39" s="3">
        <v>37</v>
      </c>
      <c r="B39" s="4">
        <v>44295.806261574071</v>
      </c>
      <c r="C39">
        <v>3.6</v>
      </c>
      <c r="D39">
        <v>3.65</v>
      </c>
      <c r="E39">
        <v>3.95</v>
      </c>
      <c r="F39">
        <v>9</v>
      </c>
      <c r="G39">
        <v>267</v>
      </c>
      <c r="H39">
        <v>0.24146266357421869</v>
      </c>
      <c r="I39">
        <v>305</v>
      </c>
    </row>
    <row r="40" spans="1:16" x14ac:dyDescent="0.2">
      <c r="A40" s="3">
        <v>38</v>
      </c>
      <c r="B40" s="4">
        <v>44295.806956018518</v>
      </c>
      <c r="C40">
        <v>3.05</v>
      </c>
      <c r="D40">
        <v>3.05</v>
      </c>
      <c r="E40">
        <v>3.35</v>
      </c>
      <c r="F40">
        <v>7</v>
      </c>
      <c r="G40">
        <v>212</v>
      </c>
      <c r="H40">
        <v>0.24216456085205079</v>
      </c>
      <c r="I40">
        <v>310</v>
      </c>
    </row>
    <row r="41" spans="1:16" x14ac:dyDescent="0.2">
      <c r="A41" s="3">
        <v>39</v>
      </c>
      <c r="B41" s="4">
        <v>44291.762754629628</v>
      </c>
      <c r="C41">
        <v>2.57</v>
      </c>
      <c r="D41">
        <v>2.46</v>
      </c>
      <c r="E41">
        <v>2.95</v>
      </c>
      <c r="F41">
        <v>1</v>
      </c>
      <c r="G41">
        <v>185</v>
      </c>
      <c r="H41">
        <v>0.2457350817871094</v>
      </c>
      <c r="I41">
        <v>315</v>
      </c>
    </row>
    <row r="42" spans="1:16" x14ac:dyDescent="0.2">
      <c r="A42" s="3">
        <v>40</v>
      </c>
      <c r="B42" s="4">
        <v>44295.807326388887</v>
      </c>
      <c r="C42">
        <v>2.2000000000000002</v>
      </c>
      <c r="D42">
        <v>2.13</v>
      </c>
      <c r="E42">
        <v>2.4700000000000002</v>
      </c>
      <c r="F42">
        <v>11</v>
      </c>
      <c r="G42">
        <v>120</v>
      </c>
      <c r="H42">
        <v>0.24561301269531249</v>
      </c>
      <c r="I42">
        <v>320</v>
      </c>
    </row>
    <row r="43" spans="1:16" x14ac:dyDescent="0.2">
      <c r="A43" s="3">
        <v>41</v>
      </c>
      <c r="B43" s="4">
        <v>44295.611770833333</v>
      </c>
      <c r="C43">
        <v>1.84</v>
      </c>
      <c r="D43">
        <v>1.83</v>
      </c>
      <c r="E43">
        <v>2.12</v>
      </c>
      <c r="F43">
        <v>1</v>
      </c>
      <c r="G43">
        <v>389</v>
      </c>
      <c r="H43">
        <v>0.2473219799804687</v>
      </c>
      <c r="I43">
        <v>325</v>
      </c>
    </row>
    <row r="44" spans="1:16" x14ac:dyDescent="0.2">
      <c r="A44" s="3">
        <v>42</v>
      </c>
      <c r="B44" s="4">
        <v>44295.74722222222</v>
      </c>
      <c r="C44">
        <v>1.6</v>
      </c>
      <c r="D44">
        <v>1.62</v>
      </c>
      <c r="E44">
        <v>1.77</v>
      </c>
      <c r="F44">
        <v>5</v>
      </c>
      <c r="G44">
        <v>127</v>
      </c>
      <c r="H44">
        <v>0.2473219799804687</v>
      </c>
      <c r="I44">
        <v>330</v>
      </c>
    </row>
    <row r="45" spans="1:16" x14ac:dyDescent="0.2">
      <c r="A45" s="3">
        <v>43</v>
      </c>
      <c r="B45" s="4">
        <v>44293.658599537041</v>
      </c>
      <c r="C45">
        <v>1.18</v>
      </c>
      <c r="D45">
        <v>1.4</v>
      </c>
      <c r="E45">
        <v>1.54</v>
      </c>
      <c r="F45">
        <v>5</v>
      </c>
      <c r="G45">
        <v>6</v>
      </c>
      <c r="H45">
        <v>0.24976336181640621</v>
      </c>
      <c r="I45">
        <v>335</v>
      </c>
      <c r="J45" s="4">
        <v>44294.811886574083</v>
      </c>
      <c r="K45">
        <v>83.55</v>
      </c>
      <c r="L45">
        <v>0</v>
      </c>
      <c r="M45">
        <v>0</v>
      </c>
      <c r="N45">
        <v>3</v>
      </c>
      <c r="O45">
        <v>0</v>
      </c>
      <c r="P45">
        <v>1.0000000000000001E-5</v>
      </c>
    </row>
    <row r="46" spans="1:16" x14ac:dyDescent="0.2">
      <c r="A46" s="3">
        <v>44</v>
      </c>
      <c r="B46" s="4">
        <v>44292.563356481478</v>
      </c>
      <c r="C46">
        <v>1.04</v>
      </c>
      <c r="D46">
        <v>1.17</v>
      </c>
      <c r="E46">
        <v>1.27</v>
      </c>
      <c r="F46">
        <v>5</v>
      </c>
      <c r="G46">
        <v>83</v>
      </c>
      <c r="H46">
        <v>0.2492750854492187</v>
      </c>
      <c r="I46">
        <v>340</v>
      </c>
    </row>
    <row r="47" spans="1:16" x14ac:dyDescent="0.2">
      <c r="A47" s="3">
        <v>45</v>
      </c>
      <c r="B47" s="4">
        <v>44293.734953703701</v>
      </c>
      <c r="C47">
        <v>1.04</v>
      </c>
      <c r="D47">
        <v>1.07</v>
      </c>
      <c r="E47">
        <v>1.22</v>
      </c>
      <c r="F47">
        <v>4</v>
      </c>
      <c r="G47">
        <v>56</v>
      </c>
      <c r="H47">
        <v>0.25678233459472649</v>
      </c>
      <c r="I47">
        <v>345</v>
      </c>
    </row>
    <row r="48" spans="1:16" x14ac:dyDescent="0.2">
      <c r="A48" s="3">
        <v>46</v>
      </c>
      <c r="B48" s="4">
        <v>44294.612685185188</v>
      </c>
      <c r="C48">
        <v>0.94</v>
      </c>
      <c r="D48">
        <v>0.89</v>
      </c>
      <c r="E48">
        <v>1.04</v>
      </c>
      <c r="F48">
        <v>6</v>
      </c>
      <c r="G48">
        <v>211</v>
      </c>
      <c r="H48">
        <v>0.25781992187500002</v>
      </c>
      <c r="I48">
        <v>350</v>
      </c>
    </row>
    <row r="49" spans="1:16" x14ac:dyDescent="0.2">
      <c r="A49" s="3">
        <v>47</v>
      </c>
      <c r="B49" s="4">
        <v>44294.698206018518</v>
      </c>
      <c r="C49">
        <v>0.79</v>
      </c>
      <c r="D49">
        <v>0.69</v>
      </c>
      <c r="E49">
        <v>0.85</v>
      </c>
      <c r="F49">
        <v>10</v>
      </c>
      <c r="G49">
        <v>99</v>
      </c>
      <c r="H49">
        <v>0.26538820556640619</v>
      </c>
      <c r="I49">
        <v>360</v>
      </c>
    </row>
    <row r="50" spans="1:16" x14ac:dyDescent="0.2">
      <c r="A50" s="3">
        <v>48</v>
      </c>
      <c r="B50" s="4">
        <v>44294.583391203712</v>
      </c>
      <c r="C50">
        <v>0.64</v>
      </c>
      <c r="D50">
        <v>0</v>
      </c>
      <c r="E50">
        <v>0</v>
      </c>
      <c r="F50">
        <v>14</v>
      </c>
      <c r="G50">
        <v>0</v>
      </c>
      <c r="H50">
        <v>0.12500875</v>
      </c>
      <c r="I50">
        <v>370</v>
      </c>
      <c r="J50" s="4">
        <v>44292.639594907407</v>
      </c>
      <c r="K50">
        <v>121.95</v>
      </c>
      <c r="L50">
        <v>0</v>
      </c>
      <c r="M50">
        <v>0</v>
      </c>
      <c r="O50">
        <v>0</v>
      </c>
      <c r="P50">
        <v>1.0000000000000001E-5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6"/>
  <dimension ref="A1:P62"/>
  <sheetViews>
    <sheetView workbookViewId="0"/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44281.607824074083</v>
      </c>
      <c r="C2">
        <v>163.65</v>
      </c>
      <c r="D2">
        <v>183.6</v>
      </c>
      <c r="E2">
        <v>188.3</v>
      </c>
      <c r="F2">
        <v>6</v>
      </c>
      <c r="G2">
        <v>124</v>
      </c>
      <c r="H2">
        <v>0.56152782226562503</v>
      </c>
      <c r="I2">
        <v>70</v>
      </c>
      <c r="J2" s="4">
        <v>44294.78197916667</v>
      </c>
      <c r="K2">
        <v>0.25</v>
      </c>
      <c r="L2">
        <v>0.2</v>
      </c>
      <c r="M2">
        <v>0.3</v>
      </c>
      <c r="N2">
        <v>1</v>
      </c>
      <c r="O2">
        <v>2690</v>
      </c>
      <c r="P2">
        <v>0.62988651367187498</v>
      </c>
    </row>
    <row r="3" spans="1:16" x14ac:dyDescent="0.2">
      <c r="A3" s="3">
        <v>1</v>
      </c>
      <c r="B3" s="4">
        <v>44279.576435185183</v>
      </c>
      <c r="C3">
        <v>161</v>
      </c>
      <c r="D3">
        <v>178.5</v>
      </c>
      <c r="E3">
        <v>183.25</v>
      </c>
      <c r="F3">
        <v>1</v>
      </c>
      <c r="G3">
        <v>119</v>
      </c>
      <c r="H3">
        <v>0.86926400268554693</v>
      </c>
      <c r="I3">
        <v>75</v>
      </c>
      <c r="J3" s="4">
        <v>44294.657002314823</v>
      </c>
      <c r="K3">
        <v>0.32</v>
      </c>
      <c r="L3">
        <v>0.31</v>
      </c>
      <c r="M3">
        <v>0.35</v>
      </c>
      <c r="N3">
        <v>3</v>
      </c>
      <c r="O3">
        <v>424</v>
      </c>
      <c r="P3">
        <v>0.62012098632812518</v>
      </c>
    </row>
    <row r="4" spans="1:16" x14ac:dyDescent="0.2">
      <c r="A4" s="3">
        <v>2</v>
      </c>
      <c r="B4" s="4">
        <v>44281.786180555559</v>
      </c>
      <c r="C4">
        <v>153.33000000000001</v>
      </c>
      <c r="D4">
        <v>173.6</v>
      </c>
      <c r="E4">
        <v>178.25</v>
      </c>
      <c r="F4">
        <v>2</v>
      </c>
      <c r="G4">
        <v>102</v>
      </c>
      <c r="H4">
        <v>0.82641775146484364</v>
      </c>
      <c r="I4">
        <v>80</v>
      </c>
      <c r="J4" s="4">
        <v>44273.641273148147</v>
      </c>
      <c r="K4">
        <v>0.56000000000000005</v>
      </c>
      <c r="L4">
        <v>0.32</v>
      </c>
      <c r="M4">
        <v>0.41</v>
      </c>
      <c r="N4">
        <v>2</v>
      </c>
      <c r="O4">
        <v>4173</v>
      </c>
      <c r="P4">
        <v>0.59717199707031254</v>
      </c>
    </row>
    <row r="5" spans="1:16" x14ac:dyDescent="0.2">
      <c r="A5" s="3">
        <v>3</v>
      </c>
      <c r="B5" s="4">
        <v>44280.613449074073</v>
      </c>
      <c r="C5">
        <v>149</v>
      </c>
      <c r="D5">
        <v>168.6</v>
      </c>
      <c r="E5">
        <v>173.4</v>
      </c>
      <c r="F5">
        <v>3</v>
      </c>
      <c r="G5">
        <v>30</v>
      </c>
      <c r="H5">
        <v>0.50391121093750002</v>
      </c>
      <c r="I5">
        <v>85</v>
      </c>
      <c r="J5" s="4">
        <v>44253.674004629633</v>
      </c>
      <c r="K5">
        <v>0.7</v>
      </c>
      <c r="L5">
        <v>0.48</v>
      </c>
      <c r="M5">
        <v>0.57999999999999996</v>
      </c>
      <c r="N5">
        <v>3</v>
      </c>
      <c r="O5">
        <v>776</v>
      </c>
      <c r="P5">
        <v>0.59936924072265629</v>
      </c>
    </row>
    <row r="6" spans="1:16" x14ac:dyDescent="0.2">
      <c r="A6" s="3">
        <v>4</v>
      </c>
      <c r="B6" s="4">
        <v>44293.7812037037</v>
      </c>
      <c r="C6">
        <v>160.6</v>
      </c>
      <c r="D6">
        <v>163.55000000000001</v>
      </c>
      <c r="E6">
        <v>168.25</v>
      </c>
      <c r="F6">
        <v>3</v>
      </c>
      <c r="G6">
        <v>247</v>
      </c>
      <c r="H6">
        <v>0.74878180908203129</v>
      </c>
      <c r="I6">
        <v>90</v>
      </c>
      <c r="J6" s="4">
        <v>44295.643900462957</v>
      </c>
      <c r="K6">
        <v>0.51</v>
      </c>
      <c r="L6">
        <v>0.37</v>
      </c>
      <c r="M6">
        <v>0.53</v>
      </c>
      <c r="N6">
        <v>1</v>
      </c>
      <c r="O6">
        <v>1919</v>
      </c>
      <c r="P6">
        <v>0.55640092041015632</v>
      </c>
    </row>
    <row r="7" spans="1:16" x14ac:dyDescent="0.2">
      <c r="A7" s="3">
        <v>5</v>
      </c>
      <c r="B7" s="4">
        <v>44280.643912037027</v>
      </c>
      <c r="C7">
        <v>138.05000000000001</v>
      </c>
      <c r="D7">
        <v>158.6</v>
      </c>
      <c r="E7">
        <v>163.1</v>
      </c>
      <c r="F7">
        <v>7</v>
      </c>
      <c r="G7">
        <v>161</v>
      </c>
      <c r="H7">
        <v>0.70349417602539077</v>
      </c>
      <c r="I7">
        <v>95</v>
      </c>
      <c r="J7" s="4">
        <v>44291.587222222217</v>
      </c>
      <c r="K7">
        <v>0.59</v>
      </c>
      <c r="L7">
        <v>0.52</v>
      </c>
      <c r="M7">
        <v>0.62</v>
      </c>
      <c r="N7">
        <v>2</v>
      </c>
      <c r="O7">
        <v>1262</v>
      </c>
      <c r="P7">
        <v>0.54858849853515634</v>
      </c>
    </row>
    <row r="8" spans="1:16" x14ac:dyDescent="0.2">
      <c r="A8" s="3">
        <v>6</v>
      </c>
      <c r="B8" s="4">
        <v>44295.64403935185</v>
      </c>
      <c r="C8">
        <v>154.75</v>
      </c>
      <c r="D8">
        <v>153.6</v>
      </c>
      <c r="E8">
        <v>158.30000000000001</v>
      </c>
      <c r="F8">
        <v>5</v>
      </c>
      <c r="G8">
        <v>1681</v>
      </c>
      <c r="H8">
        <v>0.6831086376953126</v>
      </c>
      <c r="I8">
        <v>100</v>
      </c>
      <c r="J8" s="4">
        <v>44292.659490740742</v>
      </c>
      <c r="K8">
        <v>0.62</v>
      </c>
      <c r="L8">
        <v>0.5</v>
      </c>
      <c r="M8">
        <v>0.88</v>
      </c>
      <c r="N8">
        <v>1</v>
      </c>
      <c r="O8">
        <v>2701</v>
      </c>
      <c r="P8">
        <v>0.53833469482421892</v>
      </c>
    </row>
    <row r="9" spans="1:16" x14ac:dyDescent="0.2">
      <c r="A9" s="3">
        <v>7</v>
      </c>
      <c r="B9" s="4">
        <v>44294.790069444447</v>
      </c>
      <c r="C9">
        <v>148.55000000000001</v>
      </c>
      <c r="D9">
        <v>148.65</v>
      </c>
      <c r="E9">
        <v>153.4</v>
      </c>
      <c r="F9">
        <v>9</v>
      </c>
      <c r="G9">
        <v>177</v>
      </c>
      <c r="H9">
        <v>0.6571079211425781</v>
      </c>
      <c r="I9">
        <v>105</v>
      </c>
      <c r="J9" s="4">
        <v>44295.661006944443</v>
      </c>
      <c r="K9">
        <v>0.72</v>
      </c>
      <c r="L9">
        <v>0.49</v>
      </c>
      <c r="M9">
        <v>0.95</v>
      </c>
      <c r="N9">
        <v>1</v>
      </c>
      <c r="O9">
        <v>1079</v>
      </c>
      <c r="P9">
        <v>0.5161181201171875</v>
      </c>
    </row>
    <row r="10" spans="1:16" x14ac:dyDescent="0.2">
      <c r="A10" s="3">
        <v>8</v>
      </c>
      <c r="B10" s="4">
        <v>44291.591377314813</v>
      </c>
      <c r="C10">
        <v>140.94999999999999</v>
      </c>
      <c r="D10">
        <v>144.19999999999999</v>
      </c>
      <c r="E10">
        <v>148.5</v>
      </c>
      <c r="F10">
        <v>1</v>
      </c>
      <c r="G10">
        <v>680</v>
      </c>
      <c r="H10">
        <v>0.63208375732421884</v>
      </c>
      <c r="I10">
        <v>110</v>
      </c>
      <c r="J10" s="4">
        <v>44294.641018518523</v>
      </c>
      <c r="K10">
        <v>0.8</v>
      </c>
      <c r="L10">
        <v>0.64</v>
      </c>
      <c r="M10">
        <v>1</v>
      </c>
      <c r="N10">
        <v>2</v>
      </c>
      <c r="O10">
        <v>5353</v>
      </c>
      <c r="P10">
        <v>0.50220224365234389</v>
      </c>
    </row>
    <row r="11" spans="1:16" x14ac:dyDescent="0.2">
      <c r="A11" s="3">
        <v>9</v>
      </c>
      <c r="B11" s="4">
        <v>44291.577326388891</v>
      </c>
      <c r="C11">
        <v>132.35</v>
      </c>
      <c r="D11">
        <v>138.80000000000001</v>
      </c>
      <c r="E11">
        <v>143.5</v>
      </c>
      <c r="F11">
        <v>2</v>
      </c>
      <c r="G11">
        <v>235</v>
      </c>
      <c r="H11">
        <v>0.60278717529296899</v>
      </c>
      <c r="I11">
        <v>115</v>
      </c>
      <c r="J11" s="4">
        <v>44285.738437499997</v>
      </c>
      <c r="K11">
        <v>1.2</v>
      </c>
      <c r="L11">
        <v>0.74</v>
      </c>
      <c r="M11">
        <v>1.07</v>
      </c>
      <c r="N11">
        <v>1</v>
      </c>
      <c r="O11">
        <v>3707</v>
      </c>
      <c r="P11">
        <v>0.50122569091796887</v>
      </c>
    </row>
    <row r="12" spans="1:16" x14ac:dyDescent="0.2">
      <c r="A12" s="3">
        <v>10</v>
      </c>
      <c r="B12" s="4">
        <v>44295.589236111111</v>
      </c>
      <c r="C12">
        <v>135</v>
      </c>
      <c r="D12">
        <v>133.85</v>
      </c>
      <c r="E12">
        <v>138.5</v>
      </c>
      <c r="F12">
        <v>9</v>
      </c>
      <c r="G12">
        <v>318</v>
      </c>
      <c r="H12">
        <v>0.57471128417968753</v>
      </c>
      <c r="I12">
        <v>120</v>
      </c>
      <c r="J12" s="4">
        <v>44295.66133101852</v>
      </c>
      <c r="K12">
        <v>1</v>
      </c>
      <c r="L12">
        <v>0.95</v>
      </c>
      <c r="M12">
        <v>1.1200000000000001</v>
      </c>
      <c r="N12">
        <v>6</v>
      </c>
      <c r="O12">
        <v>3249</v>
      </c>
      <c r="P12">
        <v>0.4813284289550781</v>
      </c>
    </row>
    <row r="13" spans="1:16" x14ac:dyDescent="0.2">
      <c r="A13" s="3">
        <v>11</v>
      </c>
      <c r="B13" s="4">
        <v>44294.680439814823</v>
      </c>
      <c r="C13">
        <v>128.85</v>
      </c>
      <c r="D13">
        <v>129</v>
      </c>
      <c r="E13">
        <v>133.80000000000001</v>
      </c>
      <c r="F13">
        <v>6</v>
      </c>
      <c r="G13">
        <v>443</v>
      </c>
      <c r="H13">
        <v>0.56189402954101575</v>
      </c>
      <c r="I13">
        <v>125</v>
      </c>
      <c r="J13" s="4">
        <v>44294.56927083333</v>
      </c>
      <c r="K13">
        <v>1.1200000000000001</v>
      </c>
      <c r="L13">
        <v>0.95</v>
      </c>
      <c r="M13">
        <v>1.25</v>
      </c>
      <c r="N13">
        <v>2</v>
      </c>
      <c r="O13">
        <v>2178</v>
      </c>
      <c r="P13">
        <v>0.467778759765625</v>
      </c>
    </row>
    <row r="14" spans="1:16" x14ac:dyDescent="0.2">
      <c r="A14" s="3">
        <v>12</v>
      </c>
      <c r="B14" s="4">
        <v>44295.64403935185</v>
      </c>
      <c r="C14">
        <v>125.35</v>
      </c>
      <c r="D14">
        <v>124.5</v>
      </c>
      <c r="E14">
        <v>128.80000000000001</v>
      </c>
      <c r="F14">
        <v>5</v>
      </c>
      <c r="G14">
        <v>1673</v>
      </c>
      <c r="H14">
        <v>0.53552710571289075</v>
      </c>
      <c r="I14">
        <v>130</v>
      </c>
      <c r="J14" s="4">
        <v>44292.56622685185</v>
      </c>
      <c r="K14">
        <v>1.32</v>
      </c>
      <c r="L14">
        <v>1.07</v>
      </c>
      <c r="M14">
        <v>1.36</v>
      </c>
      <c r="N14">
        <v>9</v>
      </c>
      <c r="O14">
        <v>5372</v>
      </c>
      <c r="P14">
        <v>0.45264219238281261</v>
      </c>
    </row>
    <row r="15" spans="1:16" x14ac:dyDescent="0.2">
      <c r="A15" s="3">
        <v>13</v>
      </c>
      <c r="B15" s="4">
        <v>44295.830752314818</v>
      </c>
      <c r="C15">
        <v>121.5</v>
      </c>
      <c r="D15">
        <v>119.3</v>
      </c>
      <c r="E15">
        <v>124</v>
      </c>
      <c r="F15">
        <v>1</v>
      </c>
      <c r="G15">
        <v>773</v>
      </c>
      <c r="H15">
        <v>0.51855950195312506</v>
      </c>
      <c r="I15">
        <v>135</v>
      </c>
      <c r="J15" s="4">
        <v>44295.83085648148</v>
      </c>
      <c r="K15">
        <v>1.38</v>
      </c>
      <c r="L15">
        <v>1.29</v>
      </c>
      <c r="M15">
        <v>1.54</v>
      </c>
      <c r="N15">
        <v>6</v>
      </c>
      <c r="O15">
        <v>1909</v>
      </c>
      <c r="P15">
        <v>0.4414118359375</v>
      </c>
    </row>
    <row r="16" spans="1:16" x14ac:dyDescent="0.2">
      <c r="A16" s="3">
        <v>14</v>
      </c>
      <c r="B16" s="4">
        <v>44294.792581018519</v>
      </c>
      <c r="C16">
        <v>114.34</v>
      </c>
      <c r="D16">
        <v>114.5</v>
      </c>
      <c r="E16">
        <v>119</v>
      </c>
      <c r="F16">
        <v>2</v>
      </c>
      <c r="G16">
        <v>1370</v>
      </c>
      <c r="H16">
        <v>0.49371844177246099</v>
      </c>
      <c r="I16">
        <v>140</v>
      </c>
      <c r="J16" s="4">
        <v>44294.804074074083</v>
      </c>
      <c r="K16">
        <v>1.53</v>
      </c>
      <c r="L16">
        <v>1.47</v>
      </c>
      <c r="M16">
        <v>1.55</v>
      </c>
      <c r="N16">
        <v>31</v>
      </c>
      <c r="O16">
        <v>6313</v>
      </c>
      <c r="P16">
        <v>0.42029388305664062</v>
      </c>
    </row>
    <row r="17" spans="1:16" x14ac:dyDescent="0.2">
      <c r="A17" s="3">
        <v>15</v>
      </c>
      <c r="B17" s="4">
        <v>44295.817546296297</v>
      </c>
      <c r="C17">
        <v>111.6</v>
      </c>
      <c r="D17">
        <v>109.6</v>
      </c>
      <c r="E17">
        <v>114.3</v>
      </c>
      <c r="F17">
        <v>2</v>
      </c>
      <c r="G17">
        <v>1366</v>
      </c>
      <c r="H17">
        <v>0.48090118713378899</v>
      </c>
      <c r="I17">
        <v>145</v>
      </c>
      <c r="J17" s="4">
        <v>44295.682071759264</v>
      </c>
      <c r="K17">
        <v>1.67</v>
      </c>
      <c r="L17">
        <v>1.49</v>
      </c>
      <c r="M17">
        <v>1.78</v>
      </c>
      <c r="N17">
        <v>5</v>
      </c>
      <c r="O17">
        <v>5174</v>
      </c>
      <c r="P17">
        <v>0.41113870117187501</v>
      </c>
    </row>
    <row r="18" spans="1:16" x14ac:dyDescent="0.2">
      <c r="A18" s="3">
        <v>16</v>
      </c>
      <c r="B18" s="4">
        <v>44295.830347222232</v>
      </c>
      <c r="C18">
        <v>107</v>
      </c>
      <c r="D18">
        <v>105</v>
      </c>
      <c r="E18">
        <v>109.5</v>
      </c>
      <c r="F18">
        <v>6</v>
      </c>
      <c r="G18">
        <v>2509</v>
      </c>
      <c r="H18">
        <v>0.46423875610351562</v>
      </c>
      <c r="I18">
        <v>150</v>
      </c>
      <c r="J18" s="4">
        <v>44295.608182870368</v>
      </c>
      <c r="K18">
        <v>1.85</v>
      </c>
      <c r="L18">
        <v>1.75</v>
      </c>
      <c r="M18">
        <v>1.96</v>
      </c>
      <c r="N18">
        <v>16</v>
      </c>
      <c r="O18">
        <v>6944</v>
      </c>
      <c r="P18">
        <v>0.39874868835449218</v>
      </c>
    </row>
    <row r="19" spans="1:16" x14ac:dyDescent="0.2">
      <c r="A19" s="3">
        <v>17</v>
      </c>
      <c r="B19" s="4">
        <v>44292.665636574071</v>
      </c>
      <c r="C19">
        <v>95.95</v>
      </c>
      <c r="D19">
        <v>100.2</v>
      </c>
      <c r="E19">
        <v>104.75</v>
      </c>
      <c r="F19">
        <v>2</v>
      </c>
      <c r="G19">
        <v>1829</v>
      </c>
      <c r="H19">
        <v>0.44916322326660152</v>
      </c>
      <c r="I19">
        <v>155</v>
      </c>
      <c r="J19" s="4">
        <v>44295.680960648147</v>
      </c>
      <c r="K19">
        <v>2.0699999999999998</v>
      </c>
      <c r="L19">
        <v>1.82</v>
      </c>
      <c r="M19">
        <v>2.42</v>
      </c>
      <c r="N19">
        <v>21</v>
      </c>
      <c r="O19">
        <v>3691</v>
      </c>
      <c r="P19">
        <v>0.39734489379882809</v>
      </c>
    </row>
    <row r="20" spans="1:16" x14ac:dyDescent="0.2">
      <c r="A20" s="3">
        <v>18</v>
      </c>
      <c r="B20" s="4">
        <v>44294.695729166669</v>
      </c>
      <c r="C20">
        <v>94.1</v>
      </c>
      <c r="D20">
        <v>97.05</v>
      </c>
      <c r="E20">
        <v>98.4</v>
      </c>
      <c r="F20">
        <v>7</v>
      </c>
      <c r="G20">
        <v>2012</v>
      </c>
      <c r="H20">
        <v>0.38098763549804682</v>
      </c>
      <c r="I20">
        <v>160</v>
      </c>
      <c r="J20" s="4">
        <v>44294.659907407397</v>
      </c>
      <c r="K20">
        <v>2.39</v>
      </c>
      <c r="L20">
        <v>2.21</v>
      </c>
      <c r="M20">
        <v>2.4500000000000002</v>
      </c>
      <c r="N20">
        <v>8</v>
      </c>
      <c r="O20">
        <v>7861</v>
      </c>
      <c r="P20">
        <v>0.37769177001953119</v>
      </c>
    </row>
    <row r="21" spans="1:16" x14ac:dyDescent="0.2">
      <c r="A21" s="3">
        <v>19</v>
      </c>
      <c r="B21" s="4">
        <v>44295.829629629632</v>
      </c>
      <c r="C21">
        <v>92.35</v>
      </c>
      <c r="D21">
        <v>92.3</v>
      </c>
      <c r="E21">
        <v>93.65</v>
      </c>
      <c r="F21">
        <v>2</v>
      </c>
      <c r="G21">
        <v>5479</v>
      </c>
      <c r="H21">
        <v>0.36926900268554691</v>
      </c>
      <c r="I21">
        <v>165</v>
      </c>
      <c r="J21" s="4">
        <v>44295.830462962957</v>
      </c>
      <c r="K21">
        <v>2.58</v>
      </c>
      <c r="L21">
        <v>2.5</v>
      </c>
      <c r="M21">
        <v>2.68</v>
      </c>
      <c r="N21">
        <v>1</v>
      </c>
      <c r="O21">
        <v>3657</v>
      </c>
      <c r="P21">
        <v>0.36560692993164062</v>
      </c>
    </row>
    <row r="22" spans="1:16" x14ac:dyDescent="0.2">
      <c r="A22" s="3">
        <v>20</v>
      </c>
      <c r="B22" s="4">
        <v>44293.727407407408</v>
      </c>
      <c r="C22">
        <v>85.7</v>
      </c>
      <c r="D22">
        <v>87.65</v>
      </c>
      <c r="E22">
        <v>89</v>
      </c>
      <c r="F22">
        <v>2</v>
      </c>
      <c r="G22">
        <v>3320</v>
      </c>
      <c r="H22">
        <v>0.36023588989257799</v>
      </c>
      <c r="I22">
        <v>170</v>
      </c>
      <c r="J22" s="4">
        <v>44294.728888888887</v>
      </c>
      <c r="K22">
        <v>2.92</v>
      </c>
      <c r="L22">
        <v>2.82</v>
      </c>
      <c r="M22">
        <v>3.05</v>
      </c>
      <c r="N22">
        <v>1</v>
      </c>
      <c r="O22">
        <v>14509</v>
      </c>
      <c r="P22">
        <v>0.35755036987304689</v>
      </c>
    </row>
    <row r="23" spans="1:16" x14ac:dyDescent="0.2">
      <c r="A23" s="3">
        <v>21</v>
      </c>
      <c r="B23" s="4">
        <v>44294.7033912037</v>
      </c>
      <c r="C23">
        <v>80.3</v>
      </c>
      <c r="D23">
        <v>83.05</v>
      </c>
      <c r="E23">
        <v>84</v>
      </c>
      <c r="F23">
        <v>3</v>
      </c>
      <c r="G23">
        <v>2141</v>
      </c>
      <c r="H23">
        <v>0.34003345520019529</v>
      </c>
      <c r="I23">
        <v>175</v>
      </c>
      <c r="J23" s="4">
        <v>44294.724374999998</v>
      </c>
      <c r="K23">
        <v>3.3</v>
      </c>
      <c r="L23">
        <v>3.15</v>
      </c>
      <c r="M23">
        <v>3.35</v>
      </c>
      <c r="N23">
        <v>1</v>
      </c>
      <c r="O23">
        <v>8401</v>
      </c>
      <c r="P23">
        <v>0.34632001342773427</v>
      </c>
    </row>
    <row r="24" spans="1:16" x14ac:dyDescent="0.2">
      <c r="A24" s="3">
        <v>22</v>
      </c>
      <c r="B24" s="4">
        <v>44295.737372685187</v>
      </c>
      <c r="C24">
        <v>79</v>
      </c>
      <c r="D24">
        <v>78.45</v>
      </c>
      <c r="E24">
        <v>79.75</v>
      </c>
      <c r="F24">
        <v>6</v>
      </c>
      <c r="G24">
        <v>2928</v>
      </c>
      <c r="H24">
        <v>0.34076586975097661</v>
      </c>
      <c r="I24">
        <v>180</v>
      </c>
      <c r="J24" s="4">
        <v>44295.828055555547</v>
      </c>
      <c r="K24">
        <v>3.7</v>
      </c>
      <c r="L24">
        <v>3.6</v>
      </c>
      <c r="M24">
        <v>3.8</v>
      </c>
      <c r="N24">
        <v>77</v>
      </c>
      <c r="O24">
        <v>13694</v>
      </c>
      <c r="P24">
        <v>0.33850759155273441</v>
      </c>
    </row>
    <row r="25" spans="1:16" x14ac:dyDescent="0.2">
      <c r="A25" s="3">
        <v>23</v>
      </c>
      <c r="B25" s="4">
        <v>44295.717939814807</v>
      </c>
      <c r="C25">
        <v>73</v>
      </c>
      <c r="D25">
        <v>74.099999999999994</v>
      </c>
      <c r="E25">
        <v>74.95</v>
      </c>
      <c r="F25">
        <v>38</v>
      </c>
      <c r="G25">
        <v>2048</v>
      </c>
      <c r="H25">
        <v>0.32556826782226561</v>
      </c>
      <c r="I25">
        <v>185</v>
      </c>
      <c r="J25" s="4">
        <v>44295.816331018519</v>
      </c>
      <c r="K25">
        <v>4.2</v>
      </c>
      <c r="L25">
        <v>4.05</v>
      </c>
      <c r="M25">
        <v>4.3499999999999996</v>
      </c>
      <c r="N25">
        <v>13</v>
      </c>
      <c r="O25">
        <v>7742</v>
      </c>
      <c r="P25">
        <v>0.33200741241455078</v>
      </c>
    </row>
    <row r="26" spans="1:16" x14ac:dyDescent="0.2">
      <c r="A26" s="3">
        <v>24</v>
      </c>
      <c r="B26" s="4">
        <v>44295.831284722219</v>
      </c>
      <c r="C26">
        <v>69.900000000000006</v>
      </c>
      <c r="D26">
        <v>69.599999999999994</v>
      </c>
      <c r="E26">
        <v>70.8</v>
      </c>
      <c r="F26">
        <v>15</v>
      </c>
      <c r="G26">
        <v>3328</v>
      </c>
      <c r="H26">
        <v>0.32492740509033202</v>
      </c>
      <c r="I26">
        <v>190</v>
      </c>
      <c r="J26" s="4">
        <v>44295.830416666657</v>
      </c>
      <c r="K26">
        <v>4.7300000000000004</v>
      </c>
      <c r="L26">
        <v>4.5999999999999996</v>
      </c>
      <c r="M26">
        <v>4.8499999999999996</v>
      </c>
      <c r="N26">
        <v>38</v>
      </c>
      <c r="O26">
        <v>8031</v>
      </c>
      <c r="P26">
        <v>0.32306585144042949</v>
      </c>
    </row>
    <row r="27" spans="1:16" x14ac:dyDescent="0.2">
      <c r="A27" s="3">
        <v>25</v>
      </c>
      <c r="B27" s="4">
        <v>44295.635393518518</v>
      </c>
      <c r="C27">
        <v>65.099999999999994</v>
      </c>
      <c r="D27">
        <v>65.3</v>
      </c>
      <c r="E27">
        <v>66.349999999999994</v>
      </c>
      <c r="F27">
        <v>20</v>
      </c>
      <c r="G27">
        <v>1508</v>
      </c>
      <c r="H27">
        <v>0.31589429229736321</v>
      </c>
      <c r="I27">
        <v>195</v>
      </c>
      <c r="J27" s="4">
        <v>44295.815081018518</v>
      </c>
      <c r="K27">
        <v>5.4</v>
      </c>
      <c r="L27">
        <v>5.25</v>
      </c>
      <c r="M27">
        <v>5.5</v>
      </c>
      <c r="N27">
        <v>68</v>
      </c>
      <c r="O27">
        <v>6163</v>
      </c>
      <c r="P27">
        <v>0.31619946502685542</v>
      </c>
    </row>
    <row r="28" spans="1:16" x14ac:dyDescent="0.2">
      <c r="A28" s="3">
        <v>26</v>
      </c>
      <c r="B28" s="4">
        <v>44295.817881944437</v>
      </c>
      <c r="C28">
        <v>61.2</v>
      </c>
      <c r="D28">
        <v>61</v>
      </c>
      <c r="E28">
        <v>61.9</v>
      </c>
      <c r="F28">
        <v>447</v>
      </c>
      <c r="G28">
        <v>13909</v>
      </c>
      <c r="H28">
        <v>0.30585410949707043</v>
      </c>
      <c r="I28">
        <v>200</v>
      </c>
      <c r="J28" s="4">
        <v>44295.830810185187</v>
      </c>
      <c r="K28">
        <v>6.1</v>
      </c>
      <c r="L28">
        <v>6</v>
      </c>
      <c r="M28">
        <v>6.2</v>
      </c>
      <c r="N28">
        <v>283</v>
      </c>
      <c r="O28">
        <v>10744</v>
      </c>
      <c r="P28">
        <v>0.30902790588378898</v>
      </c>
    </row>
    <row r="29" spans="1:16" x14ac:dyDescent="0.2">
      <c r="A29" s="3">
        <v>27</v>
      </c>
      <c r="B29" s="4">
        <v>44295.826643518521</v>
      </c>
      <c r="C29">
        <v>56.95</v>
      </c>
      <c r="D29">
        <v>57</v>
      </c>
      <c r="E29">
        <v>58</v>
      </c>
      <c r="F29">
        <v>255</v>
      </c>
      <c r="G29">
        <v>1977</v>
      </c>
      <c r="H29">
        <v>0.30466393585205082</v>
      </c>
      <c r="I29">
        <v>205</v>
      </c>
      <c r="J29" s="4">
        <v>44295.809050925927</v>
      </c>
      <c r="K29">
        <v>7.05</v>
      </c>
      <c r="L29">
        <v>6.85</v>
      </c>
      <c r="M29">
        <v>7.1</v>
      </c>
      <c r="N29">
        <v>51</v>
      </c>
      <c r="O29">
        <v>8100</v>
      </c>
      <c r="P29">
        <v>0.30408410766601562</v>
      </c>
    </row>
    <row r="30" spans="1:16" x14ac:dyDescent="0.2">
      <c r="A30" s="3">
        <v>28</v>
      </c>
      <c r="B30" s="4">
        <v>44295.775208333333</v>
      </c>
      <c r="C30">
        <v>52.11</v>
      </c>
      <c r="D30">
        <v>52.85</v>
      </c>
      <c r="E30">
        <v>53.7</v>
      </c>
      <c r="F30">
        <v>387</v>
      </c>
      <c r="G30">
        <v>11297</v>
      </c>
      <c r="H30">
        <v>0.29486789123535151</v>
      </c>
      <c r="I30">
        <v>210</v>
      </c>
      <c r="J30" s="4">
        <v>44295.818877314807</v>
      </c>
      <c r="K30">
        <v>7.98</v>
      </c>
      <c r="L30">
        <v>7.8</v>
      </c>
      <c r="M30">
        <v>8.0500000000000007</v>
      </c>
      <c r="N30">
        <v>787</v>
      </c>
      <c r="O30">
        <v>12126</v>
      </c>
      <c r="P30">
        <v>0.29837737762451172</v>
      </c>
    </row>
    <row r="31" spans="1:16" x14ac:dyDescent="0.2">
      <c r="A31" s="3">
        <v>29</v>
      </c>
      <c r="B31" s="4">
        <v>44295.797013888892</v>
      </c>
      <c r="C31">
        <v>48.16</v>
      </c>
      <c r="D31">
        <v>49</v>
      </c>
      <c r="E31">
        <v>50</v>
      </c>
      <c r="F31">
        <v>18</v>
      </c>
      <c r="G31">
        <v>2378</v>
      </c>
      <c r="H31">
        <v>0.29325047576904278</v>
      </c>
      <c r="I31">
        <v>215</v>
      </c>
      <c r="J31" s="4">
        <v>44295.817870370367</v>
      </c>
      <c r="K31">
        <v>9.0500000000000007</v>
      </c>
      <c r="L31">
        <v>8.85</v>
      </c>
      <c r="M31">
        <v>9.3000000000000007</v>
      </c>
      <c r="N31">
        <v>133</v>
      </c>
      <c r="O31">
        <v>5206</v>
      </c>
      <c r="P31">
        <v>0.29578340942382808</v>
      </c>
    </row>
    <row r="32" spans="1:16" x14ac:dyDescent="0.2">
      <c r="A32" s="3">
        <v>30</v>
      </c>
      <c r="B32" s="4">
        <v>44295.818020833343</v>
      </c>
      <c r="C32">
        <v>45.25</v>
      </c>
      <c r="D32">
        <v>45.2</v>
      </c>
      <c r="E32">
        <v>45.95</v>
      </c>
      <c r="F32">
        <v>243</v>
      </c>
      <c r="G32">
        <v>9577</v>
      </c>
      <c r="H32">
        <v>0.2846446047973632</v>
      </c>
      <c r="I32">
        <v>220</v>
      </c>
      <c r="J32" s="4">
        <v>44295.830416666657</v>
      </c>
      <c r="K32">
        <v>10.23</v>
      </c>
      <c r="L32">
        <v>10</v>
      </c>
      <c r="M32">
        <v>10.35</v>
      </c>
      <c r="N32">
        <v>92</v>
      </c>
      <c r="O32">
        <v>8478</v>
      </c>
      <c r="P32">
        <v>0.28845926391601551</v>
      </c>
    </row>
    <row r="33" spans="1:16" x14ac:dyDescent="0.2">
      <c r="A33" s="3">
        <v>31</v>
      </c>
      <c r="B33" s="4">
        <v>44295.72016203704</v>
      </c>
      <c r="C33">
        <v>41.6</v>
      </c>
      <c r="D33">
        <v>41.6</v>
      </c>
      <c r="E33">
        <v>42.5</v>
      </c>
      <c r="F33">
        <v>19</v>
      </c>
      <c r="G33">
        <v>2815</v>
      </c>
      <c r="H33">
        <v>0.28296615478515619</v>
      </c>
      <c r="I33">
        <v>225</v>
      </c>
      <c r="J33" s="4">
        <v>44295.833182870367</v>
      </c>
      <c r="K33">
        <v>11.45</v>
      </c>
      <c r="L33">
        <v>11.35</v>
      </c>
      <c r="M33">
        <v>11.75</v>
      </c>
      <c r="N33">
        <v>336</v>
      </c>
      <c r="O33">
        <v>5379</v>
      </c>
      <c r="P33">
        <v>0.28456831161499008</v>
      </c>
    </row>
    <row r="34" spans="1:16" x14ac:dyDescent="0.2">
      <c r="A34" s="3">
        <v>32</v>
      </c>
      <c r="B34" s="4">
        <v>44295.830069444448</v>
      </c>
      <c r="C34">
        <v>38.6</v>
      </c>
      <c r="D34">
        <v>38.15</v>
      </c>
      <c r="E34">
        <v>39.1</v>
      </c>
      <c r="F34">
        <v>67</v>
      </c>
      <c r="G34">
        <v>6061</v>
      </c>
      <c r="H34">
        <v>0.28002123794555661</v>
      </c>
      <c r="I34">
        <v>230</v>
      </c>
      <c r="J34" s="4">
        <v>44295.832824074067</v>
      </c>
      <c r="K34">
        <v>12.95</v>
      </c>
      <c r="L34">
        <v>12.9</v>
      </c>
      <c r="M34">
        <v>13.4</v>
      </c>
      <c r="N34">
        <v>516</v>
      </c>
      <c r="O34">
        <v>4852</v>
      </c>
      <c r="P34">
        <v>0.28218796432495108</v>
      </c>
    </row>
    <row r="35" spans="1:16" x14ac:dyDescent="0.2">
      <c r="A35" s="3">
        <v>33</v>
      </c>
      <c r="B35" s="4">
        <v>44295.830868055556</v>
      </c>
      <c r="C35">
        <v>35.200000000000003</v>
      </c>
      <c r="D35">
        <v>34.9</v>
      </c>
      <c r="E35">
        <v>35.6</v>
      </c>
      <c r="F35">
        <v>46</v>
      </c>
      <c r="G35">
        <v>3176</v>
      </c>
      <c r="H35">
        <v>0.27405511108398439</v>
      </c>
      <c r="I35">
        <v>235</v>
      </c>
      <c r="J35" s="4">
        <v>44295.830983796302</v>
      </c>
      <c r="K35">
        <v>14.75</v>
      </c>
      <c r="L35">
        <v>14.6</v>
      </c>
      <c r="M35">
        <v>14.95</v>
      </c>
      <c r="N35">
        <v>338</v>
      </c>
      <c r="O35">
        <v>2105</v>
      </c>
      <c r="P35">
        <v>0.27674063110351549</v>
      </c>
    </row>
    <row r="36" spans="1:16" x14ac:dyDescent="0.2">
      <c r="A36" s="3">
        <v>34</v>
      </c>
      <c r="B36" s="4">
        <v>44295.831145833326</v>
      </c>
      <c r="C36">
        <v>32.1</v>
      </c>
      <c r="D36">
        <v>31.85</v>
      </c>
      <c r="E36">
        <v>32.450000000000003</v>
      </c>
      <c r="F36">
        <v>258</v>
      </c>
      <c r="G36">
        <v>14494</v>
      </c>
      <c r="H36">
        <v>0.27066769378662109</v>
      </c>
      <c r="I36">
        <v>240</v>
      </c>
      <c r="J36" s="4">
        <v>44295.826423611114</v>
      </c>
      <c r="K36">
        <v>16.850000000000001</v>
      </c>
      <c r="L36">
        <v>16.399999999999999</v>
      </c>
      <c r="M36">
        <v>16.850000000000001</v>
      </c>
      <c r="N36">
        <v>249</v>
      </c>
      <c r="O36">
        <v>4470</v>
      </c>
      <c r="P36">
        <v>0.27387200744628898</v>
      </c>
    </row>
    <row r="37" spans="1:16" x14ac:dyDescent="0.2">
      <c r="A37" s="3">
        <v>35</v>
      </c>
      <c r="B37" s="4">
        <v>44295.817164351851</v>
      </c>
      <c r="C37">
        <v>28.9</v>
      </c>
      <c r="D37">
        <v>28.95</v>
      </c>
      <c r="E37">
        <v>29.55</v>
      </c>
      <c r="F37">
        <v>284</v>
      </c>
      <c r="G37">
        <v>8169</v>
      </c>
      <c r="H37">
        <v>0.26843993286132811</v>
      </c>
      <c r="I37">
        <v>245</v>
      </c>
      <c r="J37" s="4">
        <v>44295.832754629628</v>
      </c>
      <c r="K37">
        <v>18.7</v>
      </c>
      <c r="L37">
        <v>18.55</v>
      </c>
      <c r="M37">
        <v>18.850000000000001</v>
      </c>
      <c r="N37">
        <v>121</v>
      </c>
      <c r="O37">
        <v>1409</v>
      </c>
      <c r="P37">
        <v>0.27039303833007811</v>
      </c>
    </row>
    <row r="38" spans="1:16" x14ac:dyDescent="0.2">
      <c r="A38" s="3">
        <v>36</v>
      </c>
      <c r="B38" s="4">
        <v>44295.824201388888</v>
      </c>
      <c r="C38">
        <v>26.05</v>
      </c>
      <c r="D38">
        <v>26.1</v>
      </c>
      <c r="E38">
        <v>26.6</v>
      </c>
      <c r="F38">
        <v>274</v>
      </c>
      <c r="G38">
        <v>15710</v>
      </c>
      <c r="H38">
        <v>0.26381656600952152</v>
      </c>
      <c r="I38">
        <v>250</v>
      </c>
      <c r="J38" s="4">
        <v>44295.832442129627</v>
      </c>
      <c r="K38">
        <v>20.95</v>
      </c>
      <c r="L38">
        <v>20.7</v>
      </c>
      <c r="M38">
        <v>21.1</v>
      </c>
      <c r="N38">
        <v>225</v>
      </c>
      <c r="O38">
        <v>1359</v>
      </c>
      <c r="P38">
        <v>0.26799743240356438</v>
      </c>
    </row>
    <row r="39" spans="1:16" x14ac:dyDescent="0.2">
      <c r="A39" s="3">
        <v>37</v>
      </c>
      <c r="B39" s="4">
        <v>44295.828680555547</v>
      </c>
      <c r="C39">
        <v>23.7</v>
      </c>
      <c r="D39">
        <v>23.25</v>
      </c>
      <c r="E39">
        <v>24.2</v>
      </c>
      <c r="F39">
        <v>108</v>
      </c>
      <c r="G39">
        <v>9693</v>
      </c>
      <c r="H39">
        <v>0.26358768646240238</v>
      </c>
      <c r="I39">
        <v>255</v>
      </c>
      <c r="J39" s="4">
        <v>44295.819537037038</v>
      </c>
      <c r="K39">
        <v>23.45</v>
      </c>
      <c r="L39">
        <v>23.1</v>
      </c>
      <c r="M39">
        <v>23.5</v>
      </c>
      <c r="N39">
        <v>122</v>
      </c>
      <c r="O39">
        <v>515</v>
      </c>
      <c r="P39">
        <v>0.26547975738525392</v>
      </c>
    </row>
    <row r="40" spans="1:16" x14ac:dyDescent="0.2">
      <c r="A40" s="3">
        <v>38</v>
      </c>
      <c r="B40" s="4">
        <v>44295.832256944443</v>
      </c>
      <c r="C40">
        <v>21.59</v>
      </c>
      <c r="D40">
        <v>21.35</v>
      </c>
      <c r="E40">
        <v>21.8</v>
      </c>
      <c r="F40">
        <v>533</v>
      </c>
      <c r="G40">
        <v>17919</v>
      </c>
      <c r="H40">
        <v>0.26152777053832998</v>
      </c>
      <c r="I40">
        <v>260</v>
      </c>
      <c r="J40" s="4">
        <v>44295.832442129627</v>
      </c>
      <c r="K40">
        <v>25.95</v>
      </c>
      <c r="L40">
        <v>25.65</v>
      </c>
      <c r="M40">
        <v>26.65</v>
      </c>
      <c r="N40">
        <v>276</v>
      </c>
      <c r="O40">
        <v>496</v>
      </c>
      <c r="P40">
        <v>0.26950803741455082</v>
      </c>
    </row>
    <row r="41" spans="1:16" x14ac:dyDescent="0.2">
      <c r="A41" s="3">
        <v>39</v>
      </c>
      <c r="B41" s="4">
        <v>44295.815810185188</v>
      </c>
      <c r="C41">
        <v>18.899999999999999</v>
      </c>
      <c r="D41">
        <v>19.100000000000001</v>
      </c>
      <c r="E41">
        <v>19.55</v>
      </c>
      <c r="F41">
        <v>166</v>
      </c>
      <c r="G41">
        <v>2346</v>
      </c>
      <c r="H41">
        <v>0.25934578552246101</v>
      </c>
      <c r="I41">
        <v>265</v>
      </c>
      <c r="J41" s="4">
        <v>44295.776018518518</v>
      </c>
      <c r="K41">
        <v>28.81</v>
      </c>
      <c r="L41">
        <v>28.35</v>
      </c>
      <c r="M41">
        <v>28.95</v>
      </c>
      <c r="N41">
        <v>7</v>
      </c>
      <c r="O41">
        <v>250</v>
      </c>
      <c r="P41">
        <v>0.26233647827148437</v>
      </c>
    </row>
    <row r="42" spans="1:16" x14ac:dyDescent="0.2">
      <c r="A42" s="3">
        <v>40</v>
      </c>
      <c r="B42" s="4">
        <v>44295.831956018519</v>
      </c>
      <c r="C42">
        <v>17.11</v>
      </c>
      <c r="D42">
        <v>16.899999999999999</v>
      </c>
      <c r="E42">
        <v>17.5</v>
      </c>
      <c r="F42">
        <v>1937</v>
      </c>
      <c r="G42">
        <v>7135</v>
      </c>
      <c r="H42">
        <v>0.25762155960083011</v>
      </c>
      <c r="I42">
        <v>270</v>
      </c>
      <c r="J42" s="4">
        <v>44295.831956018519</v>
      </c>
      <c r="K42">
        <v>31.53</v>
      </c>
      <c r="L42">
        <v>31.45</v>
      </c>
      <c r="M42">
        <v>31.8</v>
      </c>
      <c r="N42">
        <v>1513</v>
      </c>
      <c r="O42">
        <v>293</v>
      </c>
      <c r="P42">
        <v>0.25952888916015632</v>
      </c>
    </row>
    <row r="43" spans="1:16" x14ac:dyDescent="0.2">
      <c r="A43" s="3">
        <v>41</v>
      </c>
      <c r="B43" s="4">
        <v>44295.830462962957</v>
      </c>
      <c r="C43">
        <v>15.25</v>
      </c>
      <c r="D43">
        <v>15.1</v>
      </c>
      <c r="E43">
        <v>15.6</v>
      </c>
      <c r="F43">
        <v>100</v>
      </c>
      <c r="G43">
        <v>3480</v>
      </c>
      <c r="H43">
        <v>0.25583629913330092</v>
      </c>
      <c r="I43">
        <v>275</v>
      </c>
      <c r="J43" s="4">
        <v>44295.81040509259</v>
      </c>
      <c r="K43">
        <v>35.15</v>
      </c>
      <c r="L43">
        <v>34.5</v>
      </c>
      <c r="M43">
        <v>35.049999999999997</v>
      </c>
      <c r="N43">
        <v>13</v>
      </c>
      <c r="O43">
        <v>187</v>
      </c>
      <c r="P43">
        <v>0.25946785461425781</v>
      </c>
    </row>
    <row r="44" spans="1:16" x14ac:dyDescent="0.2">
      <c r="A44" s="3">
        <v>42</v>
      </c>
      <c r="B44" s="4">
        <v>44295.830983796302</v>
      </c>
      <c r="C44">
        <v>13.69</v>
      </c>
      <c r="D44">
        <v>13.55</v>
      </c>
      <c r="E44">
        <v>13.8</v>
      </c>
      <c r="F44">
        <v>376</v>
      </c>
      <c r="G44">
        <v>7132</v>
      </c>
      <c r="H44">
        <v>0.25345595184326181</v>
      </c>
      <c r="I44">
        <v>280</v>
      </c>
      <c r="J44" s="4">
        <v>44295.757268518522</v>
      </c>
      <c r="K44">
        <v>38.61</v>
      </c>
      <c r="L44">
        <v>37.700000000000003</v>
      </c>
      <c r="M44">
        <v>38.85</v>
      </c>
      <c r="N44">
        <v>52</v>
      </c>
      <c r="O44">
        <v>527</v>
      </c>
      <c r="P44">
        <v>0.26404544555664061</v>
      </c>
    </row>
    <row r="45" spans="1:16" x14ac:dyDescent="0.2">
      <c r="A45" s="3">
        <v>43</v>
      </c>
      <c r="B45" s="4">
        <v>44295.832824074067</v>
      </c>
      <c r="C45">
        <v>12.1</v>
      </c>
      <c r="D45">
        <v>12</v>
      </c>
      <c r="E45">
        <v>12.25</v>
      </c>
      <c r="F45">
        <v>197</v>
      </c>
      <c r="G45">
        <v>1454</v>
      </c>
      <c r="H45">
        <v>0.25229629547119142</v>
      </c>
      <c r="I45">
        <v>285</v>
      </c>
      <c r="J45" s="4">
        <v>44295.757268518522</v>
      </c>
      <c r="K45">
        <v>42.08</v>
      </c>
      <c r="L45">
        <v>41.25</v>
      </c>
      <c r="M45">
        <v>42.45</v>
      </c>
      <c r="N45">
        <v>6</v>
      </c>
      <c r="O45">
        <v>168</v>
      </c>
      <c r="P45">
        <v>0.26491518783569329</v>
      </c>
    </row>
    <row r="46" spans="1:16" x14ac:dyDescent="0.2">
      <c r="A46" s="3">
        <v>44</v>
      </c>
      <c r="B46" s="4">
        <v>44295.826319444437</v>
      </c>
      <c r="C46">
        <v>10.55</v>
      </c>
      <c r="D46">
        <v>10.6</v>
      </c>
      <c r="E46">
        <v>10.95</v>
      </c>
      <c r="F46">
        <v>609</v>
      </c>
      <c r="G46">
        <v>6280</v>
      </c>
      <c r="H46">
        <v>0.25250991638183601</v>
      </c>
      <c r="I46">
        <v>290</v>
      </c>
      <c r="J46" s="4">
        <v>44292.616782407407</v>
      </c>
      <c r="K46">
        <v>50.25</v>
      </c>
      <c r="L46">
        <v>44.85</v>
      </c>
      <c r="M46">
        <v>45.45</v>
      </c>
      <c r="N46">
        <v>5</v>
      </c>
      <c r="O46">
        <v>651</v>
      </c>
      <c r="P46">
        <v>0.25705699005126958</v>
      </c>
    </row>
    <row r="47" spans="1:16" x14ac:dyDescent="0.2">
      <c r="A47" s="3">
        <v>45</v>
      </c>
      <c r="B47" s="4">
        <v>44295.769918981481</v>
      </c>
      <c r="C47">
        <v>9.0500000000000007</v>
      </c>
      <c r="D47">
        <v>9.15</v>
      </c>
      <c r="E47">
        <v>9.6</v>
      </c>
      <c r="F47">
        <v>266</v>
      </c>
      <c r="G47">
        <v>816</v>
      </c>
      <c r="H47">
        <v>0.25054155227661129</v>
      </c>
      <c r="I47">
        <v>295</v>
      </c>
      <c r="J47" s="4">
        <v>44272.776331018518</v>
      </c>
      <c r="K47">
        <v>65.7</v>
      </c>
      <c r="L47">
        <v>48.5</v>
      </c>
      <c r="M47">
        <v>49</v>
      </c>
      <c r="N47">
        <v>1</v>
      </c>
      <c r="O47">
        <v>180</v>
      </c>
      <c r="P47">
        <v>0.25400526275634772</v>
      </c>
    </row>
    <row r="48" spans="1:16" x14ac:dyDescent="0.2">
      <c r="A48" s="3">
        <v>46</v>
      </c>
      <c r="B48" s="4">
        <v>44295.833298611113</v>
      </c>
      <c r="C48">
        <v>8.3000000000000007</v>
      </c>
      <c r="D48">
        <v>8.25</v>
      </c>
      <c r="E48">
        <v>8.35</v>
      </c>
      <c r="F48">
        <v>731</v>
      </c>
      <c r="G48">
        <v>9672</v>
      </c>
      <c r="H48">
        <v>0.2482069808959961</v>
      </c>
      <c r="I48">
        <v>300</v>
      </c>
      <c r="J48" s="4">
        <v>44295.565497685187</v>
      </c>
      <c r="K48">
        <v>54.2</v>
      </c>
      <c r="L48">
        <v>52.4</v>
      </c>
      <c r="M48">
        <v>53</v>
      </c>
      <c r="N48">
        <v>2</v>
      </c>
      <c r="O48">
        <v>321</v>
      </c>
      <c r="P48">
        <v>0.25513440185546882</v>
      </c>
    </row>
    <row r="49" spans="1:16" x14ac:dyDescent="0.2">
      <c r="A49" s="3">
        <v>47</v>
      </c>
      <c r="B49" s="4">
        <v>44295.832858796297</v>
      </c>
      <c r="C49">
        <v>7.27</v>
      </c>
      <c r="D49">
        <v>7.05</v>
      </c>
      <c r="E49">
        <v>7.45</v>
      </c>
      <c r="F49">
        <v>19</v>
      </c>
      <c r="G49">
        <v>453</v>
      </c>
      <c r="H49">
        <v>0.2490614645385742</v>
      </c>
      <c r="I49">
        <v>305</v>
      </c>
      <c r="J49" s="4">
        <v>44294.641712962963</v>
      </c>
      <c r="K49">
        <v>58.6</v>
      </c>
      <c r="L49">
        <v>56.4</v>
      </c>
      <c r="M49">
        <v>57.05</v>
      </c>
      <c r="N49">
        <v>2</v>
      </c>
      <c r="O49">
        <v>9</v>
      </c>
      <c r="P49">
        <v>0.25562267822265627</v>
      </c>
    </row>
    <row r="50" spans="1:16" x14ac:dyDescent="0.2">
      <c r="A50" s="3">
        <v>48</v>
      </c>
      <c r="B50" s="4">
        <v>44295.783043981479</v>
      </c>
      <c r="C50">
        <v>6.1</v>
      </c>
      <c r="D50">
        <v>6.25</v>
      </c>
      <c r="E50">
        <v>6.6</v>
      </c>
      <c r="F50">
        <v>249</v>
      </c>
      <c r="G50">
        <v>2855</v>
      </c>
      <c r="H50">
        <v>0.2492750854492187</v>
      </c>
      <c r="I50">
        <v>310</v>
      </c>
      <c r="J50" s="4">
        <v>44294.8128125</v>
      </c>
      <c r="K50">
        <v>62.91</v>
      </c>
      <c r="L50">
        <v>60.55</v>
      </c>
      <c r="M50">
        <v>61.2</v>
      </c>
      <c r="N50">
        <v>10</v>
      </c>
      <c r="O50">
        <v>168</v>
      </c>
      <c r="P50">
        <v>0.25617198913574218</v>
      </c>
    </row>
    <row r="51" spans="1:16" x14ac:dyDescent="0.2">
      <c r="A51" s="3">
        <v>49</v>
      </c>
      <c r="B51" s="4">
        <v>44295.807476851849</v>
      </c>
      <c r="C51">
        <v>5.45</v>
      </c>
      <c r="D51">
        <v>5.45</v>
      </c>
      <c r="E51">
        <v>5.9</v>
      </c>
      <c r="F51">
        <v>65</v>
      </c>
      <c r="G51">
        <v>647</v>
      </c>
      <c r="H51">
        <v>0.250434741821289</v>
      </c>
      <c r="I51">
        <v>315</v>
      </c>
      <c r="J51" s="4">
        <v>44271.81417824074</v>
      </c>
      <c r="K51">
        <v>66.099999999999994</v>
      </c>
      <c r="L51">
        <v>64.75</v>
      </c>
      <c r="M51">
        <v>65.45</v>
      </c>
      <c r="N51">
        <v>58</v>
      </c>
      <c r="O51">
        <v>5</v>
      </c>
      <c r="P51">
        <v>0.25696543823242191</v>
      </c>
    </row>
    <row r="52" spans="1:16" x14ac:dyDescent="0.2">
      <c r="A52" s="3">
        <v>50</v>
      </c>
      <c r="B52" s="4">
        <v>44295.767974537041</v>
      </c>
      <c r="C52">
        <v>4.71</v>
      </c>
      <c r="D52">
        <v>4.75</v>
      </c>
      <c r="E52">
        <v>5</v>
      </c>
      <c r="F52">
        <v>341</v>
      </c>
      <c r="G52">
        <v>7949</v>
      </c>
      <c r="H52">
        <v>0.247077841796875</v>
      </c>
      <c r="I52">
        <v>320</v>
      </c>
      <c r="J52" s="4">
        <v>44295.565497685187</v>
      </c>
      <c r="K52">
        <v>71.05</v>
      </c>
      <c r="L52">
        <v>69</v>
      </c>
      <c r="M52">
        <v>69.75</v>
      </c>
      <c r="N52">
        <v>2</v>
      </c>
      <c r="O52">
        <v>491</v>
      </c>
      <c r="P52">
        <v>0.25733164550781251</v>
      </c>
    </row>
    <row r="53" spans="1:16" x14ac:dyDescent="0.2">
      <c r="A53" s="3">
        <v>51</v>
      </c>
      <c r="B53" s="4">
        <v>44295.814629629633</v>
      </c>
      <c r="C53">
        <v>4.25</v>
      </c>
      <c r="D53">
        <v>4.25</v>
      </c>
      <c r="E53">
        <v>4.55</v>
      </c>
      <c r="F53">
        <v>25</v>
      </c>
      <c r="G53">
        <v>577</v>
      </c>
      <c r="H53">
        <v>0.24991594818115229</v>
      </c>
      <c r="I53">
        <v>325</v>
      </c>
      <c r="J53" s="4">
        <v>44295.826643518521</v>
      </c>
      <c r="K53">
        <v>74.05</v>
      </c>
      <c r="L53">
        <v>73.45</v>
      </c>
      <c r="M53">
        <v>74.2</v>
      </c>
      <c r="N53">
        <v>7</v>
      </c>
      <c r="O53">
        <v>28</v>
      </c>
      <c r="P53">
        <v>0.25901009552001958</v>
      </c>
    </row>
    <row r="54" spans="1:16" x14ac:dyDescent="0.2">
      <c r="A54" s="3">
        <v>52</v>
      </c>
      <c r="B54" s="4">
        <v>44295.789641203701</v>
      </c>
      <c r="C54">
        <v>3.6</v>
      </c>
      <c r="D54">
        <v>3.7</v>
      </c>
      <c r="E54">
        <v>4</v>
      </c>
      <c r="F54">
        <v>93</v>
      </c>
      <c r="G54">
        <v>913</v>
      </c>
      <c r="H54">
        <v>0.24994646545410151</v>
      </c>
      <c r="I54">
        <v>330</v>
      </c>
      <c r="J54" s="4">
        <v>44295.804467592592</v>
      </c>
      <c r="K54">
        <v>79.349999999999994</v>
      </c>
      <c r="L54">
        <v>77.900000000000006</v>
      </c>
      <c r="M54">
        <v>78.650000000000006</v>
      </c>
      <c r="N54">
        <v>63</v>
      </c>
      <c r="O54">
        <v>25</v>
      </c>
      <c r="P54">
        <v>0.25965095825195322</v>
      </c>
    </row>
    <row r="55" spans="1:16" x14ac:dyDescent="0.2">
      <c r="A55" s="3">
        <v>53</v>
      </c>
      <c r="B55" s="4">
        <v>44295.657592592594</v>
      </c>
      <c r="C55">
        <v>3.17</v>
      </c>
      <c r="D55">
        <v>3.25</v>
      </c>
      <c r="E55">
        <v>3.5</v>
      </c>
      <c r="F55">
        <v>2</v>
      </c>
      <c r="G55">
        <v>2067</v>
      </c>
      <c r="H55">
        <v>0.24976336181640621</v>
      </c>
      <c r="I55">
        <v>335</v>
      </c>
      <c r="J55" s="4">
        <v>44295.814131944448</v>
      </c>
      <c r="K55">
        <v>83.3</v>
      </c>
      <c r="L55">
        <v>82.45</v>
      </c>
      <c r="M55">
        <v>83.25</v>
      </c>
      <c r="N55">
        <v>20</v>
      </c>
      <c r="O55">
        <v>3</v>
      </c>
      <c r="P55">
        <v>0.26209234008789062</v>
      </c>
    </row>
    <row r="56" spans="1:16" x14ac:dyDescent="0.2">
      <c r="A56" s="3">
        <v>54</v>
      </c>
      <c r="B56" s="4">
        <v>44294.69604166667</v>
      </c>
      <c r="C56">
        <v>2.65</v>
      </c>
      <c r="D56">
        <v>2.81</v>
      </c>
      <c r="E56">
        <v>3.3</v>
      </c>
      <c r="F56">
        <v>1</v>
      </c>
      <c r="G56">
        <v>325</v>
      </c>
      <c r="H56">
        <v>0.25482922912597661</v>
      </c>
      <c r="I56">
        <v>340</v>
      </c>
      <c r="J56" s="4">
        <v>44251.76258101852</v>
      </c>
      <c r="K56">
        <v>109.74</v>
      </c>
      <c r="L56">
        <v>104.35</v>
      </c>
      <c r="M56">
        <v>106</v>
      </c>
      <c r="N56">
        <v>4</v>
      </c>
      <c r="O56">
        <v>3</v>
      </c>
      <c r="P56">
        <v>0.50856509506225578</v>
      </c>
    </row>
    <row r="57" spans="1:16" x14ac:dyDescent="0.2">
      <c r="A57" s="3">
        <v>55</v>
      </c>
      <c r="B57" s="4">
        <v>44295.682662037027</v>
      </c>
      <c r="C57">
        <v>2.71</v>
      </c>
      <c r="D57">
        <v>2.5499999999999998</v>
      </c>
      <c r="E57">
        <v>2.85</v>
      </c>
      <c r="F57">
        <v>2</v>
      </c>
      <c r="G57">
        <v>297</v>
      </c>
      <c r="H57">
        <v>0.25370009002685551</v>
      </c>
      <c r="I57">
        <v>345</v>
      </c>
      <c r="J57" s="4">
        <v>44286.788495370369</v>
      </c>
      <c r="K57">
        <v>111.75</v>
      </c>
      <c r="L57">
        <v>91.35</v>
      </c>
      <c r="M57">
        <v>92.5</v>
      </c>
      <c r="N57">
        <v>7</v>
      </c>
      <c r="O57">
        <v>22</v>
      </c>
      <c r="P57">
        <v>0.26544924011230459</v>
      </c>
    </row>
    <row r="58" spans="1:16" x14ac:dyDescent="0.2">
      <c r="A58" s="3">
        <v>56</v>
      </c>
      <c r="B58" s="4">
        <v>44295.832812499997</v>
      </c>
      <c r="C58">
        <v>2.36</v>
      </c>
      <c r="D58">
        <v>2.19</v>
      </c>
      <c r="E58">
        <v>2.52</v>
      </c>
      <c r="F58">
        <v>6</v>
      </c>
      <c r="G58">
        <v>547</v>
      </c>
      <c r="H58">
        <v>0.25421888366699219</v>
      </c>
      <c r="I58">
        <v>350</v>
      </c>
      <c r="J58" s="4">
        <v>44280.643807870372</v>
      </c>
      <c r="K58">
        <v>118.95</v>
      </c>
      <c r="L58">
        <v>96</v>
      </c>
      <c r="M58">
        <v>98.3</v>
      </c>
      <c r="N58">
        <v>1</v>
      </c>
      <c r="O58">
        <v>2</v>
      </c>
      <c r="P58">
        <v>0.29083961120605462</v>
      </c>
    </row>
    <row r="59" spans="1:16" x14ac:dyDescent="0.2">
      <c r="A59" s="3">
        <v>57</v>
      </c>
      <c r="B59" s="4">
        <v>44295.657013888893</v>
      </c>
      <c r="C59">
        <v>1.99</v>
      </c>
      <c r="D59">
        <v>2.02</v>
      </c>
      <c r="E59">
        <v>2.31</v>
      </c>
      <c r="F59">
        <v>4</v>
      </c>
      <c r="G59">
        <v>869</v>
      </c>
      <c r="H59">
        <v>0.25699595550537108</v>
      </c>
      <c r="I59">
        <v>355</v>
      </c>
    </row>
    <row r="60" spans="1:16" x14ac:dyDescent="0.2">
      <c r="A60" s="3">
        <v>58</v>
      </c>
      <c r="B60" s="4">
        <v>44294.612708333327</v>
      </c>
      <c r="C60">
        <v>1.6</v>
      </c>
      <c r="D60">
        <v>1.81</v>
      </c>
      <c r="E60">
        <v>2.0299999999999998</v>
      </c>
      <c r="F60">
        <v>2</v>
      </c>
      <c r="G60">
        <v>1706</v>
      </c>
      <c r="H60">
        <v>0.25714854187011721</v>
      </c>
      <c r="I60">
        <v>360</v>
      </c>
      <c r="J60" s="4">
        <v>44280.664421296293</v>
      </c>
      <c r="K60">
        <v>128.9</v>
      </c>
      <c r="L60">
        <v>105.5</v>
      </c>
      <c r="M60">
        <v>106.85</v>
      </c>
      <c r="N60">
        <v>9</v>
      </c>
      <c r="O60">
        <v>18</v>
      </c>
      <c r="P60">
        <v>0.27576407836914058</v>
      </c>
    </row>
    <row r="61" spans="1:16" x14ac:dyDescent="0.2">
      <c r="A61" s="3">
        <v>59</v>
      </c>
      <c r="B61" s="4">
        <v>44295.663217592592</v>
      </c>
      <c r="C61">
        <v>1.64</v>
      </c>
      <c r="D61">
        <v>1.52</v>
      </c>
      <c r="E61">
        <v>1.86</v>
      </c>
      <c r="F61">
        <v>16</v>
      </c>
      <c r="G61">
        <v>1417</v>
      </c>
      <c r="H61">
        <v>0.25965095825195322</v>
      </c>
      <c r="I61">
        <v>365</v>
      </c>
      <c r="J61" s="4">
        <v>44280.664409722223</v>
      </c>
      <c r="K61">
        <v>133.80000000000001</v>
      </c>
      <c r="L61">
        <v>110.25</v>
      </c>
      <c r="M61">
        <v>111.65</v>
      </c>
      <c r="N61">
        <v>1</v>
      </c>
      <c r="O61">
        <v>2</v>
      </c>
      <c r="P61">
        <v>0.27851063293457029</v>
      </c>
    </row>
    <row r="62" spans="1:16" x14ac:dyDescent="0.2">
      <c r="A62" s="3">
        <v>60</v>
      </c>
      <c r="B62" s="4">
        <v>44294.718460648153</v>
      </c>
      <c r="C62">
        <v>1.38</v>
      </c>
      <c r="D62">
        <v>0</v>
      </c>
      <c r="E62">
        <v>0</v>
      </c>
      <c r="F62">
        <v>62</v>
      </c>
      <c r="G62">
        <v>0</v>
      </c>
      <c r="H62">
        <v>6.2509375000000006E-2</v>
      </c>
      <c r="I62">
        <v>370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7"/>
  <dimension ref="A1:P60"/>
  <sheetViews>
    <sheetView workbookViewId="0"/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44280.643912037027</v>
      </c>
      <c r="C2">
        <v>152.9</v>
      </c>
      <c r="D2">
        <v>173.5</v>
      </c>
      <c r="E2">
        <v>178.45</v>
      </c>
      <c r="F2">
        <v>8</v>
      </c>
      <c r="G2">
        <v>18</v>
      </c>
      <c r="H2">
        <v>0.76916734741210946</v>
      </c>
      <c r="I2">
        <v>80</v>
      </c>
      <c r="J2" s="4">
        <v>44293.750393518523</v>
      </c>
      <c r="K2">
        <v>0.43</v>
      </c>
      <c r="L2">
        <v>0.39</v>
      </c>
      <c r="M2">
        <v>0.53</v>
      </c>
      <c r="N2">
        <v>20</v>
      </c>
      <c r="O2">
        <v>1488</v>
      </c>
      <c r="P2">
        <v>0.56470161865234392</v>
      </c>
    </row>
    <row r="3" spans="1:16" x14ac:dyDescent="0.2">
      <c r="A3" s="3">
        <v>1</v>
      </c>
      <c r="B3" s="4">
        <v>44280.664409722223</v>
      </c>
      <c r="C3">
        <v>147.55000000000001</v>
      </c>
      <c r="D3">
        <v>168.5</v>
      </c>
      <c r="E3">
        <v>173.45</v>
      </c>
      <c r="F3">
        <v>1</v>
      </c>
      <c r="G3">
        <v>8</v>
      </c>
      <c r="H3">
        <v>0.73193627441406239</v>
      </c>
      <c r="I3">
        <v>85</v>
      </c>
      <c r="J3" s="4">
        <v>44250.84269675926</v>
      </c>
      <c r="K3">
        <v>0.74</v>
      </c>
      <c r="L3">
        <v>0.64</v>
      </c>
      <c r="M3">
        <v>1</v>
      </c>
      <c r="N3">
        <v>31</v>
      </c>
      <c r="O3">
        <v>430</v>
      </c>
      <c r="P3">
        <v>0.58740646972656252</v>
      </c>
    </row>
    <row r="4" spans="1:16" x14ac:dyDescent="0.2">
      <c r="A4" s="3">
        <v>2</v>
      </c>
      <c r="B4" s="4">
        <v>44244.749837962961</v>
      </c>
      <c r="C4">
        <v>153.16999999999999</v>
      </c>
      <c r="D4">
        <v>139.6</v>
      </c>
      <c r="E4">
        <v>141.1</v>
      </c>
      <c r="F4">
        <v>77</v>
      </c>
      <c r="G4">
        <v>79</v>
      </c>
      <c r="H4">
        <v>1.0000000000000001E-5</v>
      </c>
      <c r="I4">
        <v>90</v>
      </c>
      <c r="J4" s="4">
        <v>44293.62332175926</v>
      </c>
      <c r="K4">
        <v>0.63</v>
      </c>
      <c r="L4">
        <v>0.54</v>
      </c>
      <c r="M4">
        <v>0.68</v>
      </c>
      <c r="N4">
        <v>145</v>
      </c>
      <c r="O4">
        <v>995</v>
      </c>
      <c r="P4">
        <v>0.53296365478515617</v>
      </c>
    </row>
    <row r="5" spans="1:16" x14ac:dyDescent="0.2">
      <c r="A5" s="3">
        <v>3</v>
      </c>
      <c r="B5" s="4">
        <v>44287.602719907409</v>
      </c>
      <c r="C5">
        <v>147</v>
      </c>
      <c r="D5">
        <v>158.55000000000001</v>
      </c>
      <c r="E5">
        <v>163.5</v>
      </c>
      <c r="F5">
        <v>10</v>
      </c>
      <c r="G5">
        <v>12</v>
      </c>
      <c r="H5">
        <v>0.66699551757812525</v>
      </c>
      <c r="I5">
        <v>95</v>
      </c>
      <c r="J5" s="4">
        <v>44207.859652777777</v>
      </c>
      <c r="K5">
        <v>1.07</v>
      </c>
      <c r="L5">
        <v>0.78</v>
      </c>
      <c r="M5">
        <v>1.53</v>
      </c>
      <c r="N5">
        <v>40</v>
      </c>
      <c r="O5">
        <v>104</v>
      </c>
      <c r="P5">
        <v>0.56470161865234392</v>
      </c>
    </row>
    <row r="6" spans="1:16" x14ac:dyDescent="0.2">
      <c r="A6" s="3">
        <v>4</v>
      </c>
      <c r="B6" s="4">
        <v>44291.63554398148</v>
      </c>
      <c r="C6">
        <v>148.62</v>
      </c>
      <c r="D6">
        <v>153.55000000000001</v>
      </c>
      <c r="E6">
        <v>158.5</v>
      </c>
      <c r="F6">
        <v>1</v>
      </c>
      <c r="G6">
        <v>28</v>
      </c>
      <c r="H6">
        <v>0.63586789916992204</v>
      </c>
      <c r="I6">
        <v>100</v>
      </c>
      <c r="J6" s="4">
        <v>44295.673032407409</v>
      </c>
      <c r="K6">
        <v>0.79</v>
      </c>
      <c r="L6">
        <v>0.71</v>
      </c>
      <c r="M6">
        <v>0.85</v>
      </c>
      <c r="N6">
        <v>4</v>
      </c>
      <c r="O6">
        <v>395</v>
      </c>
      <c r="P6">
        <v>0.50244638183593759</v>
      </c>
    </row>
    <row r="7" spans="1:16" x14ac:dyDescent="0.2">
      <c r="A7" s="3">
        <v>5</v>
      </c>
      <c r="B7" s="4">
        <v>44252.760925925933</v>
      </c>
      <c r="C7">
        <v>126.05</v>
      </c>
      <c r="D7">
        <v>131.1</v>
      </c>
      <c r="E7">
        <v>132.94999999999999</v>
      </c>
      <c r="F7">
        <v>1</v>
      </c>
      <c r="G7">
        <v>69</v>
      </c>
      <c r="H7">
        <v>1.0000000000000001E-5</v>
      </c>
      <c r="I7">
        <v>105</v>
      </c>
      <c r="J7" s="4">
        <v>44232.826643518521</v>
      </c>
      <c r="K7">
        <v>1.18</v>
      </c>
      <c r="L7">
        <v>1.36</v>
      </c>
      <c r="M7">
        <v>1.53</v>
      </c>
      <c r="N7">
        <v>3</v>
      </c>
      <c r="O7">
        <v>15</v>
      </c>
      <c r="P7">
        <v>0.53442848388671882</v>
      </c>
    </row>
    <row r="8" spans="1:16" x14ac:dyDescent="0.2">
      <c r="A8" s="3">
        <v>6</v>
      </c>
      <c r="B8" s="4">
        <v>44181.818310185183</v>
      </c>
      <c r="C8">
        <v>110.75</v>
      </c>
      <c r="D8">
        <v>102.35</v>
      </c>
      <c r="E8">
        <v>106.5</v>
      </c>
      <c r="F8">
        <v>8</v>
      </c>
      <c r="G8">
        <v>10</v>
      </c>
      <c r="H8">
        <v>1.0000000000000001E-5</v>
      </c>
      <c r="I8">
        <v>110</v>
      </c>
      <c r="J8" s="4">
        <v>44279.740729166668</v>
      </c>
      <c r="K8">
        <v>1.2</v>
      </c>
      <c r="L8">
        <v>0.91</v>
      </c>
      <c r="M8">
        <v>1.05</v>
      </c>
      <c r="N8">
        <v>2</v>
      </c>
      <c r="O8">
        <v>535</v>
      </c>
      <c r="P8">
        <v>0.47974153076171872</v>
      </c>
    </row>
    <row r="9" spans="1:16" x14ac:dyDescent="0.2">
      <c r="A9" s="3">
        <v>7</v>
      </c>
      <c r="B9" s="4">
        <v>44021.790949074071</v>
      </c>
      <c r="C9">
        <v>101.51</v>
      </c>
      <c r="D9">
        <v>98.5</v>
      </c>
      <c r="E9">
        <v>102.65</v>
      </c>
      <c r="F9">
        <v>21</v>
      </c>
      <c r="G9">
        <v>25</v>
      </c>
      <c r="H9">
        <v>1.0000000000000001E-5</v>
      </c>
      <c r="I9">
        <v>115</v>
      </c>
      <c r="J9" s="4">
        <v>44292.563611111109</v>
      </c>
      <c r="K9">
        <v>1.1499999999999999</v>
      </c>
      <c r="L9">
        <v>0.93</v>
      </c>
      <c r="M9">
        <v>1.25</v>
      </c>
      <c r="N9">
        <v>2</v>
      </c>
      <c r="O9">
        <v>22</v>
      </c>
      <c r="P9">
        <v>0.47192910888671868</v>
      </c>
    </row>
    <row r="10" spans="1:16" x14ac:dyDescent="0.2">
      <c r="A10" s="3">
        <v>8</v>
      </c>
      <c r="B10" s="4">
        <v>44292.684571759259</v>
      </c>
      <c r="C10">
        <v>129.6</v>
      </c>
      <c r="D10">
        <v>134</v>
      </c>
      <c r="E10">
        <v>138.94999999999999</v>
      </c>
      <c r="F10">
        <v>2</v>
      </c>
      <c r="G10">
        <v>9</v>
      </c>
      <c r="H10">
        <v>0.54553677124023436</v>
      </c>
      <c r="I10">
        <v>120</v>
      </c>
      <c r="J10" s="4">
        <v>44284.668495370373</v>
      </c>
      <c r="K10">
        <v>1.63</v>
      </c>
      <c r="L10">
        <v>1.0900000000000001</v>
      </c>
      <c r="M10">
        <v>1.29</v>
      </c>
      <c r="N10">
        <v>8</v>
      </c>
      <c r="O10">
        <v>555</v>
      </c>
      <c r="P10">
        <v>0.45215391601562499</v>
      </c>
    </row>
    <row r="11" spans="1:16" x14ac:dyDescent="0.2">
      <c r="A11" s="3">
        <v>9</v>
      </c>
      <c r="B11" s="4">
        <v>44264.751828703702</v>
      </c>
      <c r="C11">
        <v>111</v>
      </c>
      <c r="D11">
        <v>129.15</v>
      </c>
      <c r="E11">
        <v>134</v>
      </c>
      <c r="F11">
        <v>5</v>
      </c>
      <c r="G11">
        <v>7</v>
      </c>
      <c r="H11">
        <v>0.52222157470703112</v>
      </c>
      <c r="I11">
        <v>125</v>
      </c>
      <c r="J11" s="4">
        <v>44285.812337962961</v>
      </c>
      <c r="K11">
        <v>1.85</v>
      </c>
      <c r="L11">
        <v>1.28</v>
      </c>
      <c r="M11">
        <v>1.51</v>
      </c>
      <c r="N11">
        <v>16</v>
      </c>
      <c r="O11">
        <v>50</v>
      </c>
      <c r="P11">
        <v>0.4440973559570312</v>
      </c>
    </row>
    <row r="12" spans="1:16" x14ac:dyDescent="0.2">
      <c r="A12" s="3">
        <v>10</v>
      </c>
      <c r="B12" s="4">
        <v>44281.750162037039</v>
      </c>
      <c r="C12">
        <v>106</v>
      </c>
      <c r="D12">
        <v>124.35</v>
      </c>
      <c r="E12">
        <v>129</v>
      </c>
      <c r="F12">
        <v>1</v>
      </c>
      <c r="G12">
        <v>21</v>
      </c>
      <c r="H12">
        <v>0.49774672180175777</v>
      </c>
      <c r="I12">
        <v>130</v>
      </c>
      <c r="J12" s="4">
        <v>44286.605057870373</v>
      </c>
      <c r="K12">
        <v>1.99</v>
      </c>
      <c r="L12">
        <v>1.24</v>
      </c>
      <c r="M12">
        <v>1.75</v>
      </c>
      <c r="N12">
        <v>2</v>
      </c>
      <c r="O12">
        <v>218</v>
      </c>
      <c r="P12">
        <v>0.43579665771484383</v>
      </c>
    </row>
    <row r="13" spans="1:16" x14ac:dyDescent="0.2">
      <c r="A13" s="3">
        <v>11</v>
      </c>
      <c r="B13" s="4">
        <v>44252.633287037039</v>
      </c>
      <c r="C13">
        <v>100.6</v>
      </c>
      <c r="D13">
        <v>102.25</v>
      </c>
      <c r="E13">
        <v>104.1</v>
      </c>
      <c r="F13">
        <v>4</v>
      </c>
      <c r="G13">
        <v>21</v>
      </c>
      <c r="H13">
        <v>1.0000000000000001E-5</v>
      </c>
      <c r="I13">
        <v>135</v>
      </c>
      <c r="J13" s="4">
        <v>44277.719351851847</v>
      </c>
      <c r="K13">
        <v>2.3199999999999998</v>
      </c>
      <c r="L13">
        <v>1.6</v>
      </c>
      <c r="M13">
        <v>2.58</v>
      </c>
      <c r="N13">
        <v>1</v>
      </c>
      <c r="O13">
        <v>476</v>
      </c>
      <c r="P13">
        <v>0.4523370196533204</v>
      </c>
    </row>
    <row r="14" spans="1:16" x14ac:dyDescent="0.2">
      <c r="A14" s="3">
        <v>12</v>
      </c>
      <c r="B14" s="4">
        <v>44287.692210648151</v>
      </c>
      <c r="C14">
        <v>102.55</v>
      </c>
      <c r="D14">
        <v>114.75</v>
      </c>
      <c r="E14">
        <v>119.5</v>
      </c>
      <c r="F14">
        <v>3</v>
      </c>
      <c r="G14">
        <v>46</v>
      </c>
      <c r="H14">
        <v>0.46899945068359378</v>
      </c>
      <c r="I14">
        <v>140</v>
      </c>
      <c r="J14" s="4">
        <v>44287.814525462964</v>
      </c>
      <c r="K14">
        <v>2.17</v>
      </c>
      <c r="L14">
        <v>1.78</v>
      </c>
      <c r="M14">
        <v>2.06</v>
      </c>
      <c r="N14">
        <v>5</v>
      </c>
      <c r="O14">
        <v>447</v>
      </c>
      <c r="P14">
        <v>0.40869731933593739</v>
      </c>
    </row>
    <row r="15" spans="1:16" x14ac:dyDescent="0.2">
      <c r="A15" s="3">
        <v>13</v>
      </c>
      <c r="B15" s="4">
        <v>44186.793680555558</v>
      </c>
      <c r="C15">
        <v>82.8</v>
      </c>
      <c r="D15">
        <v>80.5</v>
      </c>
      <c r="E15">
        <v>85.5</v>
      </c>
      <c r="F15">
        <v>1</v>
      </c>
      <c r="G15">
        <v>16</v>
      </c>
      <c r="H15">
        <v>1.0000000000000001E-5</v>
      </c>
      <c r="I15">
        <v>145</v>
      </c>
      <c r="J15" s="4">
        <v>44294.678611111107</v>
      </c>
      <c r="K15">
        <v>2.04</v>
      </c>
      <c r="L15">
        <v>1.98</v>
      </c>
      <c r="M15">
        <v>2.29</v>
      </c>
      <c r="N15">
        <v>4</v>
      </c>
      <c r="O15">
        <v>374</v>
      </c>
      <c r="P15">
        <v>0.39801627380371102</v>
      </c>
    </row>
    <row r="16" spans="1:16" x14ac:dyDescent="0.2">
      <c r="A16" s="3">
        <v>14</v>
      </c>
      <c r="B16" s="4">
        <v>44295.689247685194</v>
      </c>
      <c r="C16">
        <v>106.2</v>
      </c>
      <c r="D16">
        <v>105.1</v>
      </c>
      <c r="E16">
        <v>110</v>
      </c>
      <c r="F16">
        <v>1</v>
      </c>
      <c r="G16">
        <v>78</v>
      </c>
      <c r="H16">
        <v>0.43976390319824221</v>
      </c>
      <c r="I16">
        <v>150</v>
      </c>
      <c r="J16" s="4">
        <v>44294.650381944448</v>
      </c>
      <c r="K16">
        <v>2.35</v>
      </c>
      <c r="L16">
        <v>2.15</v>
      </c>
      <c r="M16">
        <v>2.4700000000000002</v>
      </c>
      <c r="N16">
        <v>6</v>
      </c>
      <c r="O16">
        <v>446</v>
      </c>
      <c r="P16">
        <v>0.3848938464355468</v>
      </c>
    </row>
    <row r="17" spans="1:16" x14ac:dyDescent="0.2">
      <c r="A17" s="3">
        <v>15</v>
      </c>
      <c r="B17" s="4">
        <v>44295.564606481479</v>
      </c>
      <c r="C17">
        <v>99.37</v>
      </c>
      <c r="D17">
        <v>100.5</v>
      </c>
      <c r="E17">
        <v>104.9</v>
      </c>
      <c r="F17">
        <v>2</v>
      </c>
      <c r="G17">
        <v>40</v>
      </c>
      <c r="H17">
        <v>0.4151669812011719</v>
      </c>
      <c r="I17">
        <v>155</v>
      </c>
      <c r="J17" s="4">
        <v>44277.62096064815</v>
      </c>
      <c r="K17">
        <v>4.2</v>
      </c>
      <c r="L17">
        <v>2.4700000000000002</v>
      </c>
      <c r="M17">
        <v>2.71</v>
      </c>
      <c r="N17">
        <v>6</v>
      </c>
      <c r="O17">
        <v>411</v>
      </c>
      <c r="P17">
        <v>0.37366348999023441</v>
      </c>
    </row>
    <row r="18" spans="1:16" x14ac:dyDescent="0.2">
      <c r="A18" s="3">
        <v>16</v>
      </c>
      <c r="B18" s="4">
        <v>44295.831828703696</v>
      </c>
      <c r="C18">
        <v>97.6</v>
      </c>
      <c r="D18">
        <v>97.35</v>
      </c>
      <c r="E18">
        <v>100.2</v>
      </c>
      <c r="F18">
        <v>1</v>
      </c>
      <c r="G18">
        <v>177</v>
      </c>
      <c r="H18">
        <v>0.40228869201660161</v>
      </c>
      <c r="I18">
        <v>160</v>
      </c>
      <c r="J18" s="4">
        <v>44293.708923611113</v>
      </c>
      <c r="K18">
        <v>3.1</v>
      </c>
      <c r="L18">
        <v>2.77</v>
      </c>
      <c r="M18">
        <v>3.05</v>
      </c>
      <c r="N18">
        <v>32</v>
      </c>
      <c r="O18">
        <v>860</v>
      </c>
      <c r="P18">
        <v>0.36517968811035162</v>
      </c>
    </row>
    <row r="19" spans="1:16" x14ac:dyDescent="0.2">
      <c r="A19" s="3">
        <v>17</v>
      </c>
      <c r="B19" s="4">
        <v>44293.648194444453</v>
      </c>
      <c r="C19">
        <v>88.04</v>
      </c>
      <c r="D19">
        <v>92.7</v>
      </c>
      <c r="E19">
        <v>94.25</v>
      </c>
      <c r="F19">
        <v>1</v>
      </c>
      <c r="G19">
        <v>104</v>
      </c>
      <c r="H19">
        <v>0.35571933349609369</v>
      </c>
      <c r="I19">
        <v>165</v>
      </c>
      <c r="J19" s="4">
        <v>44285.718310185177</v>
      </c>
      <c r="K19">
        <v>5.15</v>
      </c>
      <c r="L19">
        <v>3.1</v>
      </c>
      <c r="M19">
        <v>3.6</v>
      </c>
      <c r="N19">
        <v>18</v>
      </c>
      <c r="O19">
        <v>589</v>
      </c>
      <c r="P19">
        <v>0.36182278808593749</v>
      </c>
    </row>
    <row r="20" spans="1:16" x14ac:dyDescent="0.2">
      <c r="A20" s="3">
        <v>18</v>
      </c>
      <c r="B20" s="4">
        <v>44295.831828703696</v>
      </c>
      <c r="C20">
        <v>89.1</v>
      </c>
      <c r="D20">
        <v>88.15</v>
      </c>
      <c r="E20">
        <v>89.65</v>
      </c>
      <c r="F20">
        <v>1</v>
      </c>
      <c r="G20">
        <v>474</v>
      </c>
      <c r="H20">
        <v>0.3472355316162109</v>
      </c>
      <c r="I20">
        <v>170</v>
      </c>
      <c r="J20" s="4">
        <v>44291.6</v>
      </c>
      <c r="K20">
        <v>4</v>
      </c>
      <c r="L20">
        <v>3.5</v>
      </c>
      <c r="M20">
        <v>3.85</v>
      </c>
      <c r="N20">
        <v>1</v>
      </c>
      <c r="O20">
        <v>374</v>
      </c>
      <c r="P20">
        <v>0.34894449890136708</v>
      </c>
    </row>
    <row r="21" spans="1:16" x14ac:dyDescent="0.2">
      <c r="A21" s="3">
        <v>19</v>
      </c>
      <c r="B21" s="4">
        <v>44293.697604166657</v>
      </c>
      <c r="C21">
        <v>78.8</v>
      </c>
      <c r="D21">
        <v>82.7</v>
      </c>
      <c r="E21">
        <v>86.5</v>
      </c>
      <c r="F21">
        <v>6</v>
      </c>
      <c r="G21">
        <v>127</v>
      </c>
      <c r="H21">
        <v>0.3711000390625</v>
      </c>
      <c r="I21">
        <v>175</v>
      </c>
      <c r="J21" s="4">
        <v>44295.815925925926</v>
      </c>
      <c r="K21">
        <v>4.1500000000000004</v>
      </c>
      <c r="L21">
        <v>3.95</v>
      </c>
      <c r="M21">
        <v>4.5</v>
      </c>
      <c r="N21">
        <v>4</v>
      </c>
      <c r="O21">
        <v>248</v>
      </c>
      <c r="P21">
        <v>0.34549604705810538</v>
      </c>
    </row>
    <row r="22" spans="1:16" x14ac:dyDescent="0.2">
      <c r="A22" s="3">
        <v>20</v>
      </c>
      <c r="B22" s="4">
        <v>44293.614861111113</v>
      </c>
      <c r="C22">
        <v>74.5</v>
      </c>
      <c r="D22">
        <v>79.2</v>
      </c>
      <c r="E22">
        <v>80.599999999999994</v>
      </c>
      <c r="F22">
        <v>2</v>
      </c>
      <c r="G22">
        <v>152</v>
      </c>
      <c r="H22">
        <v>0.33127499786376963</v>
      </c>
      <c r="I22">
        <v>180</v>
      </c>
      <c r="J22" s="4">
        <v>44295.817928240736</v>
      </c>
      <c r="K22">
        <v>4.7</v>
      </c>
      <c r="L22">
        <v>4.5</v>
      </c>
      <c r="M22">
        <v>5</v>
      </c>
      <c r="N22">
        <v>4</v>
      </c>
      <c r="O22">
        <v>1832</v>
      </c>
      <c r="P22">
        <v>0.33716483154296878</v>
      </c>
    </row>
    <row r="23" spans="1:16" x14ac:dyDescent="0.2">
      <c r="A23" s="3">
        <v>21</v>
      </c>
      <c r="B23" s="4">
        <v>44294.5625462963</v>
      </c>
      <c r="C23">
        <v>72.88</v>
      </c>
      <c r="D23">
        <v>74.849999999999994</v>
      </c>
      <c r="E23">
        <v>76</v>
      </c>
      <c r="F23">
        <v>2</v>
      </c>
      <c r="G23">
        <v>64</v>
      </c>
      <c r="H23">
        <v>0.32044136596679679</v>
      </c>
      <c r="I23">
        <v>185</v>
      </c>
      <c r="J23" s="4">
        <v>44295.817627314813</v>
      </c>
      <c r="K23">
        <v>5.3</v>
      </c>
      <c r="L23">
        <v>5.0999999999999996</v>
      </c>
      <c r="M23">
        <v>5.45</v>
      </c>
      <c r="N23">
        <v>2</v>
      </c>
      <c r="O23">
        <v>326</v>
      </c>
      <c r="P23">
        <v>0.32694154510498041</v>
      </c>
    </row>
    <row r="24" spans="1:16" x14ac:dyDescent="0.2">
      <c r="A24" s="3">
        <v>22</v>
      </c>
      <c r="B24" s="4">
        <v>44293.779305555552</v>
      </c>
      <c r="C24">
        <v>66.3</v>
      </c>
      <c r="D24">
        <v>70.55</v>
      </c>
      <c r="E24">
        <v>71.599999999999994</v>
      </c>
      <c r="F24">
        <v>3</v>
      </c>
      <c r="G24">
        <v>183</v>
      </c>
      <c r="H24">
        <v>0.31293411682128902</v>
      </c>
      <c r="I24">
        <v>190</v>
      </c>
      <c r="J24" s="4">
        <v>44294.583773148152</v>
      </c>
      <c r="K24">
        <v>6.05</v>
      </c>
      <c r="L24">
        <v>5.4</v>
      </c>
      <c r="M24">
        <v>6.35</v>
      </c>
      <c r="N24">
        <v>1</v>
      </c>
      <c r="O24">
        <v>988</v>
      </c>
      <c r="P24">
        <v>0.32459171508789048</v>
      </c>
    </row>
    <row r="25" spans="1:16" x14ac:dyDescent="0.2">
      <c r="A25" s="3">
        <v>23</v>
      </c>
      <c r="B25" s="4">
        <v>44294.667731481481</v>
      </c>
      <c r="C25">
        <v>64.22</v>
      </c>
      <c r="D25">
        <v>66.3</v>
      </c>
      <c r="E25">
        <v>67.55</v>
      </c>
      <c r="F25">
        <v>1</v>
      </c>
      <c r="G25">
        <v>94</v>
      </c>
      <c r="H25">
        <v>0.31064532135009759</v>
      </c>
      <c r="I25">
        <v>195</v>
      </c>
      <c r="J25" s="4">
        <v>44293.589050925933</v>
      </c>
      <c r="K25">
        <v>6.85</v>
      </c>
      <c r="L25">
        <v>6.5</v>
      </c>
      <c r="M25">
        <v>7</v>
      </c>
      <c r="N25">
        <v>9</v>
      </c>
      <c r="O25">
        <v>929</v>
      </c>
      <c r="P25">
        <v>0.31622998229980459</v>
      </c>
    </row>
    <row r="26" spans="1:16" x14ac:dyDescent="0.2">
      <c r="A26" s="3">
        <v>24</v>
      </c>
      <c r="B26" s="4">
        <v>44295.810289351852</v>
      </c>
      <c r="C26">
        <v>62</v>
      </c>
      <c r="D26">
        <v>62.2</v>
      </c>
      <c r="E26">
        <v>63.45</v>
      </c>
      <c r="F26">
        <v>2</v>
      </c>
      <c r="G26">
        <v>1467</v>
      </c>
      <c r="H26">
        <v>0.30585410949707043</v>
      </c>
      <c r="I26">
        <v>200</v>
      </c>
      <c r="J26" s="4">
        <v>44293.813460648147</v>
      </c>
      <c r="K26">
        <v>8.3699999999999992</v>
      </c>
      <c r="L26">
        <v>7.4</v>
      </c>
      <c r="M26">
        <v>7.8</v>
      </c>
      <c r="N26">
        <v>2</v>
      </c>
      <c r="O26">
        <v>1607</v>
      </c>
      <c r="P26">
        <v>0.30939411315917958</v>
      </c>
    </row>
    <row r="27" spans="1:16" x14ac:dyDescent="0.2">
      <c r="A27" s="3">
        <v>25</v>
      </c>
      <c r="B27" s="4">
        <v>44295.743564814817</v>
      </c>
      <c r="C27">
        <v>57.8</v>
      </c>
      <c r="D27">
        <v>58.2</v>
      </c>
      <c r="E27">
        <v>59.95</v>
      </c>
      <c r="F27">
        <v>2</v>
      </c>
      <c r="G27">
        <v>29</v>
      </c>
      <c r="H27">
        <v>0.30878376770019528</v>
      </c>
      <c r="I27">
        <v>205</v>
      </c>
      <c r="J27" s="4">
        <v>44293.70517361111</v>
      </c>
      <c r="K27">
        <v>8.6999999999999993</v>
      </c>
      <c r="L27">
        <v>8.35</v>
      </c>
      <c r="M27">
        <v>8.85</v>
      </c>
      <c r="N27">
        <v>20</v>
      </c>
      <c r="O27">
        <v>3188</v>
      </c>
      <c r="P27">
        <v>0.3053047985839844</v>
      </c>
    </row>
    <row r="28" spans="1:16" x14ac:dyDescent="0.2">
      <c r="A28" s="3">
        <v>26</v>
      </c>
      <c r="B28" s="4">
        <v>44294.707245370373</v>
      </c>
      <c r="C28">
        <v>52</v>
      </c>
      <c r="D28">
        <v>54.4</v>
      </c>
      <c r="E28">
        <v>56.15</v>
      </c>
      <c r="F28">
        <v>4</v>
      </c>
      <c r="G28">
        <v>421</v>
      </c>
      <c r="H28">
        <v>0.3051827294921875</v>
      </c>
      <c r="I28">
        <v>210</v>
      </c>
      <c r="J28" s="4">
        <v>44294.680231481478</v>
      </c>
      <c r="K28">
        <v>10</v>
      </c>
      <c r="L28">
        <v>9.4499999999999993</v>
      </c>
      <c r="M28">
        <v>10.45</v>
      </c>
      <c r="N28">
        <v>2</v>
      </c>
      <c r="O28">
        <v>4658</v>
      </c>
      <c r="P28">
        <v>0.30759359405517572</v>
      </c>
    </row>
    <row r="29" spans="1:16" x14ac:dyDescent="0.2">
      <c r="A29" s="3">
        <v>27</v>
      </c>
      <c r="B29" s="4">
        <v>44292.809618055559</v>
      </c>
      <c r="C29">
        <v>49</v>
      </c>
      <c r="D29">
        <v>50.55</v>
      </c>
      <c r="E29">
        <v>53.3</v>
      </c>
      <c r="F29">
        <v>1</v>
      </c>
      <c r="G29">
        <v>450</v>
      </c>
      <c r="H29">
        <v>0.31275101318359372</v>
      </c>
      <c r="I29">
        <v>215</v>
      </c>
      <c r="J29" s="4">
        <v>44295.675023148149</v>
      </c>
      <c r="K29">
        <v>11.05</v>
      </c>
      <c r="L29">
        <v>10.65</v>
      </c>
      <c r="M29">
        <v>11.7</v>
      </c>
      <c r="N29">
        <v>9</v>
      </c>
      <c r="O29">
        <v>287</v>
      </c>
      <c r="P29">
        <v>0.30309229629516599</v>
      </c>
    </row>
    <row r="30" spans="1:16" x14ac:dyDescent="0.2">
      <c r="A30" s="3">
        <v>28</v>
      </c>
      <c r="B30" s="4">
        <v>44294.659629629627</v>
      </c>
      <c r="C30">
        <v>45.22</v>
      </c>
      <c r="D30">
        <v>47.15</v>
      </c>
      <c r="E30">
        <v>48</v>
      </c>
      <c r="F30">
        <v>13</v>
      </c>
      <c r="G30">
        <v>2590</v>
      </c>
      <c r="H30">
        <v>0.28685710708618162</v>
      </c>
      <c r="I30">
        <v>220</v>
      </c>
      <c r="J30" s="4">
        <v>44294.683888888889</v>
      </c>
      <c r="K30">
        <v>12.6</v>
      </c>
      <c r="L30">
        <v>11.95</v>
      </c>
      <c r="M30">
        <v>13</v>
      </c>
      <c r="N30">
        <v>5</v>
      </c>
      <c r="O30">
        <v>2079</v>
      </c>
      <c r="P30">
        <v>0.29791961853027338</v>
      </c>
    </row>
    <row r="31" spans="1:16" x14ac:dyDescent="0.2">
      <c r="A31" s="3">
        <v>29</v>
      </c>
      <c r="B31" s="4">
        <v>44295.821435185193</v>
      </c>
      <c r="C31">
        <v>43.5</v>
      </c>
      <c r="D31">
        <v>43.5</v>
      </c>
      <c r="E31">
        <v>44.45</v>
      </c>
      <c r="F31">
        <v>3</v>
      </c>
      <c r="G31">
        <v>769</v>
      </c>
      <c r="H31">
        <v>0.28272201660156249</v>
      </c>
      <c r="I31">
        <v>225</v>
      </c>
      <c r="J31" s="4">
        <v>44295.615185185183</v>
      </c>
      <c r="K31">
        <v>13.89</v>
      </c>
      <c r="L31">
        <v>13.3</v>
      </c>
      <c r="M31">
        <v>13.85</v>
      </c>
      <c r="N31">
        <v>5</v>
      </c>
      <c r="O31">
        <v>362</v>
      </c>
      <c r="P31">
        <v>0.28601788208007811</v>
      </c>
    </row>
    <row r="32" spans="1:16" x14ac:dyDescent="0.2">
      <c r="A32" s="3">
        <v>30</v>
      </c>
      <c r="B32" s="4">
        <v>44295.807222222233</v>
      </c>
      <c r="C32">
        <v>39.61</v>
      </c>
      <c r="D32">
        <v>40.15</v>
      </c>
      <c r="E32">
        <v>41</v>
      </c>
      <c r="F32">
        <v>10</v>
      </c>
      <c r="G32">
        <v>9386</v>
      </c>
      <c r="H32">
        <v>0.27835804656982421</v>
      </c>
      <c r="I32">
        <v>230</v>
      </c>
      <c r="J32" s="4">
        <v>44295.83221064815</v>
      </c>
      <c r="K32">
        <v>15.25</v>
      </c>
      <c r="L32">
        <v>14.9</v>
      </c>
      <c r="M32">
        <v>15.5</v>
      </c>
      <c r="N32">
        <v>3</v>
      </c>
      <c r="O32">
        <v>785</v>
      </c>
      <c r="P32">
        <v>0.28266098205566398</v>
      </c>
    </row>
    <row r="33" spans="1:16" x14ac:dyDescent="0.2">
      <c r="A33" s="3">
        <v>31</v>
      </c>
      <c r="B33" s="4">
        <v>44295.758611111109</v>
      </c>
      <c r="C33">
        <v>36.49</v>
      </c>
      <c r="D33">
        <v>36.9</v>
      </c>
      <c r="E33">
        <v>37.950000000000003</v>
      </c>
      <c r="F33">
        <v>18</v>
      </c>
      <c r="G33">
        <v>635</v>
      </c>
      <c r="H33">
        <v>0.27707632110595698</v>
      </c>
      <c r="I33">
        <v>235</v>
      </c>
      <c r="J33" s="4">
        <v>44293.644259259258</v>
      </c>
      <c r="K33">
        <v>18.5</v>
      </c>
      <c r="L33">
        <v>16.7</v>
      </c>
      <c r="M33">
        <v>17.3</v>
      </c>
      <c r="N33">
        <v>5</v>
      </c>
      <c r="O33">
        <v>516</v>
      </c>
      <c r="P33">
        <v>0.27954822021484371</v>
      </c>
    </row>
    <row r="34" spans="1:16" x14ac:dyDescent="0.2">
      <c r="A34" s="3">
        <v>32</v>
      </c>
      <c r="B34" s="4">
        <v>44295.663495370369</v>
      </c>
      <c r="C34">
        <v>33.5</v>
      </c>
      <c r="D34">
        <v>33.9</v>
      </c>
      <c r="E34">
        <v>34.9</v>
      </c>
      <c r="F34">
        <v>8</v>
      </c>
      <c r="G34">
        <v>971</v>
      </c>
      <c r="H34">
        <v>0.27419243881225591</v>
      </c>
      <c r="I34">
        <v>240</v>
      </c>
      <c r="J34" s="4">
        <v>44295.756076388891</v>
      </c>
      <c r="K34">
        <v>19.3</v>
      </c>
      <c r="L34">
        <v>18.600000000000001</v>
      </c>
      <c r="M34">
        <v>19.25</v>
      </c>
      <c r="N34">
        <v>3</v>
      </c>
      <c r="O34">
        <v>487</v>
      </c>
      <c r="P34">
        <v>0.27660330337524408</v>
      </c>
    </row>
    <row r="35" spans="1:16" x14ac:dyDescent="0.2">
      <c r="A35" s="3">
        <v>33</v>
      </c>
      <c r="B35" s="4">
        <v>44295.758611111109</v>
      </c>
      <c r="C35">
        <v>31.45</v>
      </c>
      <c r="D35">
        <v>31.1</v>
      </c>
      <c r="E35">
        <v>31.9</v>
      </c>
      <c r="F35">
        <v>5</v>
      </c>
      <c r="G35">
        <v>609</v>
      </c>
      <c r="H35">
        <v>0.27036252105712888</v>
      </c>
      <c r="I35">
        <v>245</v>
      </c>
      <c r="J35" s="4">
        <v>44295.575891203713</v>
      </c>
      <c r="K35">
        <v>21.5</v>
      </c>
      <c r="L35">
        <v>20.7</v>
      </c>
      <c r="M35">
        <v>21.4</v>
      </c>
      <c r="N35">
        <v>1</v>
      </c>
      <c r="O35">
        <v>63</v>
      </c>
      <c r="P35">
        <v>0.27429924926757809</v>
      </c>
    </row>
    <row r="36" spans="1:16" x14ac:dyDescent="0.2">
      <c r="A36" s="3">
        <v>34</v>
      </c>
      <c r="B36" s="4">
        <v>44295.832824074067</v>
      </c>
      <c r="C36">
        <v>28.83</v>
      </c>
      <c r="D36">
        <v>28.35</v>
      </c>
      <c r="E36">
        <v>29.2</v>
      </c>
      <c r="F36">
        <v>34</v>
      </c>
      <c r="G36">
        <v>3501</v>
      </c>
      <c r="H36">
        <v>0.26821105331420902</v>
      </c>
      <c r="I36">
        <v>250</v>
      </c>
      <c r="J36" s="4">
        <v>44294.801979166667</v>
      </c>
      <c r="K36">
        <v>24.2</v>
      </c>
      <c r="L36">
        <v>22.95</v>
      </c>
      <c r="M36">
        <v>23.65</v>
      </c>
      <c r="N36">
        <v>6</v>
      </c>
      <c r="O36">
        <v>116</v>
      </c>
      <c r="P36">
        <v>0.27155269470214838</v>
      </c>
    </row>
    <row r="37" spans="1:16" x14ac:dyDescent="0.2">
      <c r="A37" s="3">
        <v>35</v>
      </c>
      <c r="B37" s="4">
        <v>44295.753530092603</v>
      </c>
      <c r="C37">
        <v>25.5</v>
      </c>
      <c r="D37">
        <v>25.35</v>
      </c>
      <c r="E37">
        <v>26.55</v>
      </c>
      <c r="F37">
        <v>4</v>
      </c>
      <c r="G37">
        <v>601</v>
      </c>
      <c r="H37">
        <v>0.26506777420043942</v>
      </c>
      <c r="I37">
        <v>255</v>
      </c>
      <c r="J37" s="4">
        <v>44295.816562499997</v>
      </c>
      <c r="K37">
        <v>26.04</v>
      </c>
      <c r="L37">
        <v>23.9</v>
      </c>
      <c r="M37">
        <v>26.15</v>
      </c>
      <c r="N37">
        <v>3</v>
      </c>
      <c r="O37">
        <v>218</v>
      </c>
      <c r="P37">
        <v>0.26990476196289059</v>
      </c>
    </row>
    <row r="38" spans="1:16" x14ac:dyDescent="0.2">
      <c r="A38" s="3">
        <v>36</v>
      </c>
      <c r="B38" s="4">
        <v>44295.792268518519</v>
      </c>
      <c r="C38">
        <v>23.1</v>
      </c>
      <c r="D38">
        <v>22.8</v>
      </c>
      <c r="E38">
        <v>24.1</v>
      </c>
      <c r="F38">
        <v>65</v>
      </c>
      <c r="G38">
        <v>1028</v>
      </c>
      <c r="H38">
        <v>0.26248906463623051</v>
      </c>
      <c r="I38">
        <v>260</v>
      </c>
      <c r="J38" s="4">
        <v>44295.810381944437</v>
      </c>
      <c r="K38">
        <v>28.76</v>
      </c>
      <c r="L38">
        <v>26.95</v>
      </c>
      <c r="M38">
        <v>28.75</v>
      </c>
      <c r="N38">
        <v>207</v>
      </c>
      <c r="O38">
        <v>2462</v>
      </c>
      <c r="P38">
        <v>0.26779907012939452</v>
      </c>
    </row>
    <row r="39" spans="1:16" x14ac:dyDescent="0.2">
      <c r="A39" s="3">
        <v>37</v>
      </c>
      <c r="B39" s="4">
        <v>44294.774733796286</v>
      </c>
      <c r="C39">
        <v>20.5</v>
      </c>
      <c r="D39">
        <v>20.7</v>
      </c>
      <c r="E39">
        <v>22</v>
      </c>
      <c r="F39">
        <v>11</v>
      </c>
      <c r="G39">
        <v>270</v>
      </c>
      <c r="H39">
        <v>0.26198552963256838</v>
      </c>
      <c r="I39">
        <v>265</v>
      </c>
      <c r="J39" s="4">
        <v>44294.609305555547</v>
      </c>
      <c r="K39">
        <v>32.049999999999997</v>
      </c>
      <c r="L39">
        <v>29.95</v>
      </c>
      <c r="M39">
        <v>31.45</v>
      </c>
      <c r="N39">
        <v>3</v>
      </c>
      <c r="O39">
        <v>9</v>
      </c>
      <c r="P39">
        <v>0.26526613647460939</v>
      </c>
    </row>
    <row r="40" spans="1:16" x14ac:dyDescent="0.2">
      <c r="A40" s="3">
        <v>38</v>
      </c>
      <c r="B40" s="4">
        <v>44295.823472222219</v>
      </c>
      <c r="C40">
        <v>19.149999999999999</v>
      </c>
      <c r="D40">
        <v>19.25</v>
      </c>
      <c r="E40">
        <v>19.899999999999999</v>
      </c>
      <c r="F40">
        <v>27</v>
      </c>
      <c r="G40">
        <v>1055</v>
      </c>
      <c r="H40">
        <v>0.26001716552734377</v>
      </c>
      <c r="I40">
        <v>270</v>
      </c>
      <c r="J40" s="4">
        <v>44292.604872685188</v>
      </c>
      <c r="K40">
        <v>38.1</v>
      </c>
      <c r="L40">
        <v>33.65</v>
      </c>
      <c r="M40">
        <v>34.450000000000003</v>
      </c>
      <c r="N40">
        <v>18</v>
      </c>
      <c r="O40">
        <v>3350</v>
      </c>
      <c r="P40">
        <v>0.26433535964965821</v>
      </c>
    </row>
    <row r="41" spans="1:16" x14ac:dyDescent="0.2">
      <c r="A41" s="3">
        <v>39</v>
      </c>
      <c r="B41" s="4">
        <v>44295.751932870371</v>
      </c>
      <c r="C41">
        <v>17.02</v>
      </c>
      <c r="D41">
        <v>17</v>
      </c>
      <c r="E41">
        <v>17.95</v>
      </c>
      <c r="F41">
        <v>14</v>
      </c>
      <c r="G41">
        <v>218</v>
      </c>
      <c r="H41">
        <v>0.2581556118774414</v>
      </c>
      <c r="I41">
        <v>275</v>
      </c>
      <c r="J41" s="4">
        <v>44294.609305555547</v>
      </c>
      <c r="K41">
        <v>38.26</v>
      </c>
      <c r="L41">
        <v>36.799999999999997</v>
      </c>
      <c r="M41">
        <v>37.5</v>
      </c>
      <c r="N41">
        <v>3</v>
      </c>
      <c r="O41">
        <v>3</v>
      </c>
      <c r="P41">
        <v>0.26251958190917968</v>
      </c>
    </row>
    <row r="42" spans="1:16" x14ac:dyDescent="0.2">
      <c r="A42" s="3">
        <v>40</v>
      </c>
      <c r="B42" s="4">
        <v>44295.805138888893</v>
      </c>
      <c r="C42">
        <v>15.2</v>
      </c>
      <c r="D42">
        <v>15.65</v>
      </c>
      <c r="E42">
        <v>16.2</v>
      </c>
      <c r="F42">
        <v>27</v>
      </c>
      <c r="G42">
        <v>919</v>
      </c>
      <c r="H42">
        <v>0.25693492095947268</v>
      </c>
      <c r="I42">
        <v>280</v>
      </c>
      <c r="J42" s="4">
        <v>44295.824189814812</v>
      </c>
      <c r="K42">
        <v>40.83</v>
      </c>
      <c r="L42">
        <v>40</v>
      </c>
      <c r="M42">
        <v>40.65</v>
      </c>
      <c r="N42">
        <v>1</v>
      </c>
      <c r="O42">
        <v>1764</v>
      </c>
      <c r="P42">
        <v>0.26033759689331049</v>
      </c>
    </row>
    <row r="43" spans="1:16" x14ac:dyDescent="0.2">
      <c r="A43" s="3">
        <v>41</v>
      </c>
      <c r="B43" s="4">
        <v>44295.654618055552</v>
      </c>
      <c r="C43">
        <v>13.7</v>
      </c>
      <c r="D43">
        <v>14.05</v>
      </c>
      <c r="E43">
        <v>15.25</v>
      </c>
      <c r="F43">
        <v>2</v>
      </c>
      <c r="G43">
        <v>146</v>
      </c>
      <c r="H43">
        <v>0.26280949600219727</v>
      </c>
      <c r="I43">
        <v>285</v>
      </c>
      <c r="J43" s="4">
        <v>44284.809328703697</v>
      </c>
      <c r="K43">
        <v>58.7</v>
      </c>
      <c r="L43">
        <v>43.25</v>
      </c>
      <c r="M43">
        <v>46</v>
      </c>
      <c r="N43">
        <v>2</v>
      </c>
      <c r="O43">
        <v>27</v>
      </c>
      <c r="P43">
        <v>0.27989916885375971</v>
      </c>
    </row>
    <row r="44" spans="1:16" x14ac:dyDescent="0.2">
      <c r="A44" s="3">
        <v>42</v>
      </c>
      <c r="B44" s="4">
        <v>44294.813437500001</v>
      </c>
      <c r="C44">
        <v>12.9</v>
      </c>
      <c r="D44">
        <v>12.55</v>
      </c>
      <c r="E44">
        <v>13.15</v>
      </c>
      <c r="F44">
        <v>2</v>
      </c>
      <c r="G44">
        <v>306</v>
      </c>
      <c r="H44">
        <v>0.25519543640136721</v>
      </c>
      <c r="I44">
        <v>290</v>
      </c>
      <c r="J44" s="4">
        <v>44294.814247685194</v>
      </c>
      <c r="K44">
        <v>48.29</v>
      </c>
      <c r="L44">
        <v>46.75</v>
      </c>
      <c r="M44">
        <v>47.7</v>
      </c>
      <c r="N44">
        <v>4</v>
      </c>
      <c r="O44">
        <v>19</v>
      </c>
      <c r="P44">
        <v>0.25983406188964842</v>
      </c>
    </row>
    <row r="45" spans="1:16" x14ac:dyDescent="0.2">
      <c r="A45" s="3">
        <v>43</v>
      </c>
      <c r="B45" s="4">
        <v>44295.766053240739</v>
      </c>
      <c r="C45">
        <v>11</v>
      </c>
      <c r="D45">
        <v>11.2</v>
      </c>
      <c r="E45">
        <v>11.8</v>
      </c>
      <c r="F45">
        <v>1</v>
      </c>
      <c r="G45">
        <v>114</v>
      </c>
      <c r="H45">
        <v>0.25424940093994142</v>
      </c>
      <c r="I45">
        <v>295</v>
      </c>
      <c r="J45" s="4">
        <v>44293.790833333333</v>
      </c>
      <c r="K45">
        <v>54.67</v>
      </c>
      <c r="L45">
        <v>50.5</v>
      </c>
      <c r="M45">
        <v>51.35</v>
      </c>
      <c r="N45">
        <v>80</v>
      </c>
      <c r="O45">
        <v>63</v>
      </c>
      <c r="P45">
        <v>0.25902535415649419</v>
      </c>
    </row>
    <row r="46" spans="1:16" x14ac:dyDescent="0.2">
      <c r="A46" s="3">
        <v>44</v>
      </c>
      <c r="B46" s="4">
        <v>44295.829768518517</v>
      </c>
      <c r="C46">
        <v>10.3</v>
      </c>
      <c r="D46">
        <v>10</v>
      </c>
      <c r="E46">
        <v>10.6</v>
      </c>
      <c r="F46">
        <v>72</v>
      </c>
      <c r="G46">
        <v>2433</v>
      </c>
      <c r="H46">
        <v>0.25374586593627929</v>
      </c>
      <c r="I46">
        <v>300</v>
      </c>
      <c r="J46" s="4">
        <v>44294.562523148154</v>
      </c>
      <c r="K46">
        <v>56.83</v>
      </c>
      <c r="L46">
        <v>54.3</v>
      </c>
      <c r="M46">
        <v>55.15</v>
      </c>
      <c r="N46">
        <v>4</v>
      </c>
      <c r="O46">
        <v>83</v>
      </c>
      <c r="P46">
        <v>0.25868966415405281</v>
      </c>
    </row>
    <row r="47" spans="1:16" x14ac:dyDescent="0.2">
      <c r="A47" s="3">
        <v>45</v>
      </c>
      <c r="B47" s="4">
        <v>44291.790289351848</v>
      </c>
      <c r="C47">
        <v>8.4499999999999993</v>
      </c>
      <c r="D47">
        <v>8.9499999999999993</v>
      </c>
      <c r="E47">
        <v>9.4499999999999993</v>
      </c>
      <c r="F47">
        <v>36</v>
      </c>
      <c r="G47">
        <v>362</v>
      </c>
      <c r="H47">
        <v>0.25260146820068358</v>
      </c>
      <c r="I47">
        <v>305</v>
      </c>
      <c r="J47" s="4">
        <v>44295.816562499997</v>
      </c>
      <c r="K47">
        <v>59.06</v>
      </c>
      <c r="L47">
        <v>58.15</v>
      </c>
      <c r="M47">
        <v>59</v>
      </c>
      <c r="N47">
        <v>6</v>
      </c>
      <c r="O47">
        <v>536</v>
      </c>
      <c r="P47">
        <v>0.25772837005615229</v>
      </c>
    </row>
    <row r="48" spans="1:16" x14ac:dyDescent="0.2">
      <c r="A48" s="3">
        <v>46</v>
      </c>
      <c r="B48" s="4">
        <v>44295.70103009259</v>
      </c>
      <c r="C48">
        <v>7.9</v>
      </c>
      <c r="D48">
        <v>8</v>
      </c>
      <c r="E48">
        <v>8.5</v>
      </c>
      <c r="F48">
        <v>2</v>
      </c>
      <c r="G48">
        <v>807</v>
      </c>
      <c r="H48">
        <v>0.25267776138305659</v>
      </c>
      <c r="I48">
        <v>310</v>
      </c>
      <c r="J48" s="4">
        <v>44295.810381944437</v>
      </c>
      <c r="K48">
        <v>63.32</v>
      </c>
      <c r="L48">
        <v>61.95</v>
      </c>
      <c r="M48">
        <v>63.05</v>
      </c>
      <c r="N48">
        <v>414</v>
      </c>
      <c r="O48">
        <v>1442</v>
      </c>
      <c r="P48">
        <v>0.25803354278564461</v>
      </c>
    </row>
    <row r="49" spans="1:16" x14ac:dyDescent="0.2">
      <c r="A49" s="3">
        <v>47</v>
      </c>
      <c r="B49" s="4">
        <v>44293.65215277778</v>
      </c>
      <c r="C49">
        <v>6</v>
      </c>
      <c r="D49">
        <v>7.15</v>
      </c>
      <c r="E49">
        <v>7.55</v>
      </c>
      <c r="F49">
        <v>1</v>
      </c>
      <c r="G49">
        <v>254</v>
      </c>
      <c r="H49">
        <v>0.25162491546630861</v>
      </c>
      <c r="I49">
        <v>315</v>
      </c>
      <c r="J49" s="4">
        <v>44286.636365740742</v>
      </c>
      <c r="K49">
        <v>83.55</v>
      </c>
      <c r="L49">
        <v>66.099999999999994</v>
      </c>
      <c r="M49">
        <v>67.2</v>
      </c>
      <c r="N49">
        <v>10</v>
      </c>
      <c r="O49">
        <v>61</v>
      </c>
      <c r="P49">
        <v>0.25855233642578129</v>
      </c>
    </row>
    <row r="50" spans="1:16" x14ac:dyDescent="0.2">
      <c r="A50" s="3">
        <v>48</v>
      </c>
      <c r="B50" s="4">
        <v>44295.817615740743</v>
      </c>
      <c r="C50">
        <v>6.45</v>
      </c>
      <c r="D50">
        <v>6.4</v>
      </c>
      <c r="E50">
        <v>6.8</v>
      </c>
      <c r="F50">
        <v>4</v>
      </c>
      <c r="G50">
        <v>1903</v>
      </c>
      <c r="H50">
        <v>0.25211319183349612</v>
      </c>
      <c r="I50">
        <v>320</v>
      </c>
      <c r="J50" s="4">
        <v>44284.633877314824</v>
      </c>
      <c r="K50">
        <v>90</v>
      </c>
      <c r="L50">
        <v>70.25</v>
      </c>
      <c r="M50">
        <v>72.45</v>
      </c>
      <c r="N50">
        <v>3</v>
      </c>
      <c r="O50">
        <v>2606</v>
      </c>
      <c r="P50">
        <v>0.27265131652832031</v>
      </c>
    </row>
    <row r="51" spans="1:16" x14ac:dyDescent="0.2">
      <c r="A51" s="3">
        <v>49</v>
      </c>
      <c r="B51" s="4">
        <v>44295.816562499997</v>
      </c>
      <c r="C51">
        <v>5.8</v>
      </c>
      <c r="D51">
        <v>5.7</v>
      </c>
      <c r="E51">
        <v>6.1</v>
      </c>
      <c r="F51">
        <v>3</v>
      </c>
      <c r="G51">
        <v>85</v>
      </c>
      <c r="H51">
        <v>0.25229629547119142</v>
      </c>
      <c r="I51">
        <v>325</v>
      </c>
      <c r="J51" s="4">
        <v>44286.644803240742</v>
      </c>
      <c r="K51">
        <v>76.099999999999994</v>
      </c>
      <c r="L51">
        <v>74.75</v>
      </c>
      <c r="M51">
        <v>75.7</v>
      </c>
      <c r="N51">
        <v>5</v>
      </c>
      <c r="O51">
        <v>34</v>
      </c>
      <c r="P51">
        <v>0.25922371643066411</v>
      </c>
    </row>
    <row r="52" spans="1:16" x14ac:dyDescent="0.2">
      <c r="A52" s="3">
        <v>50</v>
      </c>
      <c r="B52" s="4">
        <v>44294.695335648154</v>
      </c>
      <c r="C52">
        <v>5</v>
      </c>
      <c r="D52">
        <v>5.05</v>
      </c>
      <c r="E52">
        <v>5.45</v>
      </c>
      <c r="F52">
        <v>1</v>
      </c>
      <c r="G52">
        <v>75</v>
      </c>
      <c r="H52">
        <v>0.25223526092529291</v>
      </c>
      <c r="I52">
        <v>330</v>
      </c>
      <c r="J52" s="4">
        <v>44286.66642361111</v>
      </c>
      <c r="K52">
        <v>96.7</v>
      </c>
      <c r="L52">
        <v>78.849999999999994</v>
      </c>
      <c r="M52">
        <v>80.05</v>
      </c>
      <c r="N52">
        <v>6</v>
      </c>
      <c r="O52">
        <v>46</v>
      </c>
      <c r="P52">
        <v>0.25952888916015632</v>
      </c>
    </row>
    <row r="53" spans="1:16" x14ac:dyDescent="0.2">
      <c r="A53" s="3">
        <v>51</v>
      </c>
      <c r="B53" s="4">
        <v>44294.724270833343</v>
      </c>
      <c r="C53">
        <v>4.09</v>
      </c>
      <c r="D53">
        <v>4.45</v>
      </c>
      <c r="E53">
        <v>5.0999999999999996</v>
      </c>
      <c r="F53">
        <v>10</v>
      </c>
      <c r="G53">
        <v>88</v>
      </c>
      <c r="H53">
        <v>0.25598888549804688</v>
      </c>
      <c r="I53">
        <v>335</v>
      </c>
      <c r="J53" s="4">
        <v>44284.80908564815</v>
      </c>
      <c r="K53">
        <v>102.7</v>
      </c>
      <c r="L53">
        <v>83.25</v>
      </c>
      <c r="M53">
        <v>84.55</v>
      </c>
      <c r="N53">
        <v>20</v>
      </c>
      <c r="O53">
        <v>26</v>
      </c>
      <c r="P53">
        <v>0.2612378564453125</v>
      </c>
    </row>
    <row r="54" spans="1:16" x14ac:dyDescent="0.2">
      <c r="A54" s="3">
        <v>52</v>
      </c>
      <c r="B54" s="4">
        <v>44294.59443287037</v>
      </c>
      <c r="C54">
        <v>3.97</v>
      </c>
      <c r="D54">
        <v>4</v>
      </c>
      <c r="E54">
        <v>4.4000000000000004</v>
      </c>
      <c r="F54">
        <v>1</v>
      </c>
      <c r="G54">
        <v>29</v>
      </c>
      <c r="H54">
        <v>0.25318129638671882</v>
      </c>
      <c r="I54">
        <v>340</v>
      </c>
      <c r="J54" s="4">
        <v>44294.814247685194</v>
      </c>
      <c r="K54">
        <v>89.73</v>
      </c>
      <c r="L54">
        <v>87.85</v>
      </c>
      <c r="M54">
        <v>89.05</v>
      </c>
      <c r="N54">
        <v>2</v>
      </c>
      <c r="O54">
        <v>59</v>
      </c>
      <c r="P54">
        <v>0.2621838919067383</v>
      </c>
    </row>
    <row r="55" spans="1:16" x14ac:dyDescent="0.2">
      <c r="A55" s="3">
        <v>53</v>
      </c>
      <c r="B55" s="4">
        <v>44294.562523148154</v>
      </c>
      <c r="C55">
        <v>3.4</v>
      </c>
      <c r="D55">
        <v>3.55</v>
      </c>
      <c r="E55">
        <v>4</v>
      </c>
      <c r="F55">
        <v>3</v>
      </c>
      <c r="G55">
        <v>6</v>
      </c>
      <c r="H55">
        <v>0.25455457366943368</v>
      </c>
      <c r="I55">
        <v>345</v>
      </c>
      <c r="J55" s="4">
        <v>44293.790833333333</v>
      </c>
      <c r="K55">
        <v>97.92</v>
      </c>
      <c r="L55">
        <v>92.3</v>
      </c>
      <c r="M55">
        <v>93.55</v>
      </c>
      <c r="N55">
        <v>40</v>
      </c>
      <c r="O55">
        <v>28</v>
      </c>
      <c r="P55">
        <v>0.2623059609985352</v>
      </c>
    </row>
    <row r="56" spans="1:16" x14ac:dyDescent="0.2">
      <c r="A56" s="3">
        <v>54</v>
      </c>
      <c r="B56" s="4">
        <v>44295.592418981483</v>
      </c>
      <c r="C56">
        <v>3.25</v>
      </c>
      <c r="D56">
        <v>3.25</v>
      </c>
      <c r="E56">
        <v>3.55</v>
      </c>
      <c r="F56">
        <v>1</v>
      </c>
      <c r="G56">
        <v>246</v>
      </c>
      <c r="H56">
        <v>0.25421888366699219</v>
      </c>
      <c r="I56">
        <v>350</v>
      </c>
      <c r="J56" s="4">
        <v>44294.562523148154</v>
      </c>
      <c r="K56">
        <v>100.3</v>
      </c>
      <c r="L56">
        <v>0</v>
      </c>
      <c r="M56">
        <v>0</v>
      </c>
      <c r="N56">
        <v>2</v>
      </c>
      <c r="O56">
        <v>0</v>
      </c>
      <c r="P56">
        <v>1.0000000000000001E-5</v>
      </c>
    </row>
    <row r="57" spans="1:16" x14ac:dyDescent="0.2">
      <c r="A57" s="3">
        <v>55</v>
      </c>
      <c r="B57" s="4">
        <v>44293.645902777767</v>
      </c>
      <c r="C57">
        <v>2.5</v>
      </c>
      <c r="D57">
        <v>2.87</v>
      </c>
      <c r="E57">
        <v>3.2</v>
      </c>
      <c r="F57">
        <v>1</v>
      </c>
      <c r="G57">
        <v>13</v>
      </c>
      <c r="H57">
        <v>0.25498181549072269</v>
      </c>
      <c r="I57">
        <v>355</v>
      </c>
      <c r="J57" s="4">
        <v>44295.816562499997</v>
      </c>
      <c r="K57">
        <v>102.83</v>
      </c>
      <c r="L57">
        <v>101.6</v>
      </c>
      <c r="M57">
        <v>102.85</v>
      </c>
      <c r="N57">
        <v>3</v>
      </c>
      <c r="O57">
        <v>241</v>
      </c>
      <c r="P57">
        <v>0.26569337829589851</v>
      </c>
    </row>
    <row r="58" spans="1:16" x14ac:dyDescent="0.2">
      <c r="A58" s="3">
        <v>56</v>
      </c>
      <c r="B58" s="4">
        <v>44294.562523148154</v>
      </c>
      <c r="C58">
        <v>2.57</v>
      </c>
      <c r="D58">
        <v>2.59</v>
      </c>
      <c r="E58">
        <v>2.85</v>
      </c>
      <c r="F58">
        <v>1</v>
      </c>
      <c r="G58">
        <v>194</v>
      </c>
      <c r="H58">
        <v>0.25495129821777351</v>
      </c>
      <c r="I58">
        <v>360</v>
      </c>
      <c r="J58" s="4">
        <v>44295.810381944437</v>
      </c>
      <c r="K58">
        <v>107.88</v>
      </c>
      <c r="L58">
        <v>106.3</v>
      </c>
      <c r="M58">
        <v>107.55</v>
      </c>
      <c r="N58">
        <v>207</v>
      </c>
      <c r="O58">
        <v>623</v>
      </c>
      <c r="P58">
        <v>0.26740234558105469</v>
      </c>
    </row>
    <row r="59" spans="1:16" x14ac:dyDescent="0.2">
      <c r="A59" s="3">
        <v>57</v>
      </c>
      <c r="B59" s="4">
        <v>44295.795300925929</v>
      </c>
      <c r="C59">
        <v>2.35</v>
      </c>
      <c r="D59">
        <v>2.2999999999999998</v>
      </c>
      <c r="E59">
        <v>2.56</v>
      </c>
      <c r="F59">
        <v>1</v>
      </c>
      <c r="G59">
        <v>1084</v>
      </c>
      <c r="H59">
        <v>0.25553112640380859</v>
      </c>
      <c r="I59">
        <v>365</v>
      </c>
      <c r="J59" s="4">
        <v>44284.791712962957</v>
      </c>
      <c r="K59">
        <v>131.75</v>
      </c>
      <c r="L59">
        <v>110.95</v>
      </c>
      <c r="M59">
        <v>112.4</v>
      </c>
      <c r="N59">
        <v>4</v>
      </c>
      <c r="O59">
        <v>5</v>
      </c>
      <c r="P59">
        <v>0.27176631561279302</v>
      </c>
    </row>
    <row r="60" spans="1:16" x14ac:dyDescent="0.2">
      <c r="A60" s="3">
        <v>58</v>
      </c>
      <c r="B60" s="4">
        <v>44294.748877314807</v>
      </c>
      <c r="C60">
        <v>2.0499999999999998</v>
      </c>
      <c r="D60">
        <v>0</v>
      </c>
      <c r="E60">
        <v>0</v>
      </c>
      <c r="F60">
        <v>2</v>
      </c>
      <c r="G60">
        <v>0</v>
      </c>
      <c r="H60">
        <v>6.2509375000000006E-2</v>
      </c>
      <c r="I60">
        <v>370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8"/>
  <dimension ref="A1:P60"/>
  <sheetViews>
    <sheetView workbookViewId="0"/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44280.656018518523</v>
      </c>
      <c r="C2">
        <v>152</v>
      </c>
      <c r="D2">
        <v>173.5</v>
      </c>
      <c r="E2">
        <v>178.5</v>
      </c>
      <c r="F2">
        <v>3</v>
      </c>
      <c r="G2">
        <v>88</v>
      </c>
      <c r="H2">
        <v>0.68664864135742198</v>
      </c>
      <c r="I2">
        <v>80</v>
      </c>
      <c r="J2" s="4">
        <v>44293.750393518523</v>
      </c>
      <c r="K2">
        <v>0.63</v>
      </c>
      <c r="L2">
        <v>0.54</v>
      </c>
      <c r="M2">
        <v>0.71</v>
      </c>
      <c r="N2">
        <v>18</v>
      </c>
      <c r="O2">
        <v>1679</v>
      </c>
      <c r="P2">
        <v>0.52563950927734382</v>
      </c>
    </row>
    <row r="3" spans="1:16" x14ac:dyDescent="0.2">
      <c r="A3" s="3">
        <v>1</v>
      </c>
      <c r="B3" s="4">
        <v>44021.873819444438</v>
      </c>
      <c r="C3">
        <v>104.29</v>
      </c>
      <c r="D3">
        <v>0</v>
      </c>
      <c r="E3">
        <v>0</v>
      </c>
      <c r="F3">
        <v>3</v>
      </c>
      <c r="G3">
        <v>3</v>
      </c>
      <c r="H3">
        <v>1.0000000000000001E-5</v>
      </c>
      <c r="I3">
        <v>85</v>
      </c>
      <c r="J3" s="4">
        <v>44295.58898148148</v>
      </c>
      <c r="K3">
        <v>0.71</v>
      </c>
      <c r="L3">
        <v>0.63</v>
      </c>
      <c r="M3">
        <v>0.8</v>
      </c>
      <c r="N3">
        <v>80</v>
      </c>
      <c r="O3">
        <v>549</v>
      </c>
      <c r="P3">
        <v>0.51074708007812508</v>
      </c>
    </row>
    <row r="4" spans="1:16" x14ac:dyDescent="0.2">
      <c r="A4" s="3">
        <v>2</v>
      </c>
      <c r="B4" s="4">
        <v>44216.641979166663</v>
      </c>
      <c r="C4">
        <v>132.25</v>
      </c>
      <c r="D4">
        <v>152.15</v>
      </c>
      <c r="E4">
        <v>154</v>
      </c>
      <c r="F4">
        <v>1</v>
      </c>
      <c r="G4">
        <v>4</v>
      </c>
      <c r="H4">
        <v>1.0000000000000001E-5</v>
      </c>
      <c r="I4">
        <v>90</v>
      </c>
      <c r="J4" s="4">
        <v>44295.574513888889</v>
      </c>
      <c r="K4">
        <v>0.82</v>
      </c>
      <c r="L4">
        <v>0.72</v>
      </c>
      <c r="M4">
        <v>0.9</v>
      </c>
      <c r="N4">
        <v>40</v>
      </c>
      <c r="O4">
        <v>430</v>
      </c>
      <c r="P4">
        <v>0.50464362548828123</v>
      </c>
    </row>
    <row r="5" spans="1:16" x14ac:dyDescent="0.2">
      <c r="A5" s="3">
        <v>3</v>
      </c>
      <c r="B5" s="4">
        <v>44106.662777777783</v>
      </c>
      <c r="C5">
        <v>113.35</v>
      </c>
      <c r="D5">
        <v>106</v>
      </c>
      <c r="E5">
        <v>111</v>
      </c>
      <c r="F5">
        <v>5</v>
      </c>
      <c r="G5">
        <v>19</v>
      </c>
      <c r="H5">
        <v>1.0000000000000001E-5</v>
      </c>
      <c r="I5">
        <v>95</v>
      </c>
      <c r="J5" s="4">
        <v>44252.862384259257</v>
      </c>
      <c r="K5">
        <v>1.53</v>
      </c>
      <c r="L5">
        <v>1</v>
      </c>
      <c r="M5">
        <v>1.2</v>
      </c>
      <c r="N5">
        <v>7</v>
      </c>
      <c r="O5">
        <v>52</v>
      </c>
      <c r="P5">
        <v>0.50562017822265615</v>
      </c>
    </row>
    <row r="6" spans="1:16" x14ac:dyDescent="0.2">
      <c r="A6" s="3">
        <v>4</v>
      </c>
      <c r="B6" s="4">
        <v>44249.642337962963</v>
      </c>
      <c r="C6">
        <v>135.19999999999999</v>
      </c>
      <c r="D6">
        <v>136.6</v>
      </c>
      <c r="E6">
        <v>137.75</v>
      </c>
      <c r="F6">
        <v>1</v>
      </c>
      <c r="G6">
        <v>129</v>
      </c>
      <c r="H6">
        <v>1.0000000000000001E-5</v>
      </c>
      <c r="I6">
        <v>100</v>
      </c>
      <c r="J6" s="4">
        <v>44295.673032407409</v>
      </c>
      <c r="K6">
        <v>1.01</v>
      </c>
      <c r="L6">
        <v>0.94</v>
      </c>
      <c r="M6">
        <v>1.07</v>
      </c>
      <c r="N6">
        <v>4</v>
      </c>
      <c r="O6">
        <v>1424</v>
      </c>
      <c r="P6">
        <v>0.47168497070312498</v>
      </c>
    </row>
    <row r="7" spans="1:16" x14ac:dyDescent="0.2">
      <c r="A7" s="3">
        <v>5</v>
      </c>
      <c r="B7" s="4">
        <v>44217.722719907397</v>
      </c>
      <c r="C7">
        <v>120.31</v>
      </c>
      <c r="D7">
        <v>134.5</v>
      </c>
      <c r="E7">
        <v>139.5</v>
      </c>
      <c r="F7">
        <v>1</v>
      </c>
      <c r="G7">
        <v>12</v>
      </c>
      <c r="H7">
        <v>1.0000000000000001E-5</v>
      </c>
      <c r="I7">
        <v>105</v>
      </c>
      <c r="J7" s="4">
        <v>44295.614571759259</v>
      </c>
      <c r="K7">
        <v>1.1599999999999999</v>
      </c>
      <c r="L7">
        <v>1.06</v>
      </c>
      <c r="M7">
        <v>1.24</v>
      </c>
      <c r="N7">
        <v>1</v>
      </c>
      <c r="O7">
        <v>335</v>
      </c>
      <c r="P7">
        <v>0.46155323608398452</v>
      </c>
    </row>
    <row r="8" spans="1:16" x14ac:dyDescent="0.2">
      <c r="A8" s="3">
        <v>6</v>
      </c>
      <c r="B8" s="4">
        <v>44249.744143518517</v>
      </c>
      <c r="C8">
        <v>126</v>
      </c>
      <c r="D8">
        <v>126.9</v>
      </c>
      <c r="E8">
        <v>127.85</v>
      </c>
      <c r="F8">
        <v>10</v>
      </c>
      <c r="G8">
        <v>102</v>
      </c>
      <c r="H8">
        <v>1.0000000000000001E-5</v>
      </c>
      <c r="I8">
        <v>110</v>
      </c>
      <c r="J8" s="4">
        <v>44284.660925925928</v>
      </c>
      <c r="K8">
        <v>1.58</v>
      </c>
      <c r="L8">
        <v>1.19</v>
      </c>
      <c r="M8">
        <v>1.37</v>
      </c>
      <c r="N8">
        <v>200</v>
      </c>
      <c r="O8">
        <v>472</v>
      </c>
      <c r="P8">
        <v>0.44812563598632799</v>
      </c>
    </row>
    <row r="9" spans="1:16" x14ac:dyDescent="0.2">
      <c r="A9" s="3">
        <v>7</v>
      </c>
      <c r="B9" s="4">
        <v>44293.831134259257</v>
      </c>
      <c r="C9">
        <v>135.25</v>
      </c>
      <c r="D9">
        <v>139</v>
      </c>
      <c r="E9">
        <v>144</v>
      </c>
      <c r="F9">
        <v>1</v>
      </c>
      <c r="G9">
        <v>82</v>
      </c>
      <c r="H9">
        <v>0.51038087280273436</v>
      </c>
      <c r="I9">
        <v>115</v>
      </c>
      <c r="J9" s="4">
        <v>44196.672326388893</v>
      </c>
      <c r="K9">
        <v>2.4700000000000002</v>
      </c>
      <c r="L9">
        <v>2.38</v>
      </c>
      <c r="M9">
        <v>3.15</v>
      </c>
      <c r="N9">
        <v>1</v>
      </c>
      <c r="O9">
        <v>430</v>
      </c>
      <c r="P9">
        <v>0.51093018371582044</v>
      </c>
    </row>
    <row r="10" spans="1:16" x14ac:dyDescent="0.2">
      <c r="A10" s="3">
        <v>8</v>
      </c>
      <c r="B10" s="4">
        <v>44291.825509259259</v>
      </c>
      <c r="C10">
        <v>129.69999999999999</v>
      </c>
      <c r="D10">
        <v>134</v>
      </c>
      <c r="E10">
        <v>139</v>
      </c>
      <c r="F10">
        <v>1</v>
      </c>
      <c r="G10">
        <v>39</v>
      </c>
      <c r="H10">
        <v>0.48676050354003908</v>
      </c>
      <c r="I10">
        <v>120</v>
      </c>
      <c r="J10" s="4">
        <v>44284.648541666669</v>
      </c>
      <c r="K10">
        <v>2.0699999999999998</v>
      </c>
      <c r="L10">
        <v>1.4</v>
      </c>
      <c r="M10">
        <v>1.69</v>
      </c>
      <c r="N10">
        <v>10</v>
      </c>
      <c r="O10">
        <v>377</v>
      </c>
      <c r="P10">
        <v>0.42407802490234381</v>
      </c>
    </row>
    <row r="11" spans="1:16" x14ac:dyDescent="0.2">
      <c r="A11" s="3">
        <v>9</v>
      </c>
      <c r="B11" s="4">
        <v>44291.737361111111</v>
      </c>
      <c r="C11">
        <v>124.5</v>
      </c>
      <c r="D11">
        <v>129</v>
      </c>
      <c r="E11">
        <v>134</v>
      </c>
      <c r="F11">
        <v>1</v>
      </c>
      <c r="G11">
        <v>53</v>
      </c>
      <c r="H11">
        <v>0.46411668701171882</v>
      </c>
      <c r="I11">
        <v>125</v>
      </c>
      <c r="J11" s="4">
        <v>44218.631898148153</v>
      </c>
      <c r="K11">
        <v>2.83</v>
      </c>
      <c r="L11">
        <v>2.23</v>
      </c>
      <c r="M11">
        <v>2.91</v>
      </c>
      <c r="N11">
        <v>1</v>
      </c>
      <c r="O11">
        <v>171</v>
      </c>
      <c r="P11">
        <v>0.45587702331542967</v>
      </c>
    </row>
    <row r="12" spans="1:16" x14ac:dyDescent="0.2">
      <c r="A12" s="3">
        <v>10</v>
      </c>
      <c r="B12" s="4">
        <v>44291.773240740738</v>
      </c>
      <c r="C12">
        <v>120.61</v>
      </c>
      <c r="D12">
        <v>124.5</v>
      </c>
      <c r="E12">
        <v>129.5</v>
      </c>
      <c r="F12">
        <v>1</v>
      </c>
      <c r="G12">
        <v>180</v>
      </c>
      <c r="H12">
        <v>0.45917288879394541</v>
      </c>
      <c r="I12">
        <v>130</v>
      </c>
      <c r="J12" s="4">
        <v>44295.728831018518</v>
      </c>
      <c r="K12">
        <v>1.95</v>
      </c>
      <c r="L12">
        <v>1.77</v>
      </c>
      <c r="M12">
        <v>2.13</v>
      </c>
      <c r="N12">
        <v>5</v>
      </c>
      <c r="O12">
        <v>1163</v>
      </c>
      <c r="P12">
        <v>0.40424179748535161</v>
      </c>
    </row>
    <row r="13" spans="1:16" x14ac:dyDescent="0.2">
      <c r="A13" s="3">
        <v>11</v>
      </c>
      <c r="B13" s="4">
        <v>44279.589131944442</v>
      </c>
      <c r="C13">
        <v>103</v>
      </c>
      <c r="D13">
        <v>119.5</v>
      </c>
      <c r="E13">
        <v>124.5</v>
      </c>
      <c r="F13">
        <v>5</v>
      </c>
      <c r="G13">
        <v>118</v>
      </c>
      <c r="H13">
        <v>0.43762769409179691</v>
      </c>
      <c r="I13">
        <v>135</v>
      </c>
      <c r="J13" s="4">
        <v>44293.738865740743</v>
      </c>
      <c r="K13">
        <v>2.06</v>
      </c>
      <c r="L13">
        <v>1.88</v>
      </c>
      <c r="M13">
        <v>2.6</v>
      </c>
      <c r="N13">
        <v>10</v>
      </c>
      <c r="O13">
        <v>316</v>
      </c>
      <c r="P13">
        <v>0.40283800292968752</v>
      </c>
    </row>
    <row r="14" spans="1:16" x14ac:dyDescent="0.2">
      <c r="A14" s="3">
        <v>12</v>
      </c>
      <c r="B14" s="4">
        <v>44279.61010416667</v>
      </c>
      <c r="C14">
        <v>98.5</v>
      </c>
      <c r="D14">
        <v>115</v>
      </c>
      <c r="E14">
        <v>120</v>
      </c>
      <c r="F14">
        <v>6</v>
      </c>
      <c r="G14">
        <v>288</v>
      </c>
      <c r="H14">
        <v>0.43146320495605472</v>
      </c>
      <c r="I14">
        <v>140</v>
      </c>
      <c r="J14" s="4">
        <v>44293.738865740743</v>
      </c>
      <c r="K14">
        <v>2.34</v>
      </c>
      <c r="L14">
        <v>2.1</v>
      </c>
      <c r="M14">
        <v>2.91</v>
      </c>
      <c r="N14">
        <v>10</v>
      </c>
      <c r="O14">
        <v>334</v>
      </c>
      <c r="P14">
        <v>0.39404902832031252</v>
      </c>
    </row>
    <row r="15" spans="1:16" x14ac:dyDescent="0.2">
      <c r="A15" s="3">
        <v>13</v>
      </c>
      <c r="B15" s="4">
        <v>44295.81523148148</v>
      </c>
      <c r="C15">
        <v>112</v>
      </c>
      <c r="D15">
        <v>110.9</v>
      </c>
      <c r="E15">
        <v>115</v>
      </c>
      <c r="F15">
        <v>60</v>
      </c>
      <c r="G15">
        <v>154</v>
      </c>
      <c r="H15">
        <v>0.41083352844238291</v>
      </c>
      <c r="I15">
        <v>145</v>
      </c>
      <c r="J15" s="4">
        <v>44277.685532407413</v>
      </c>
      <c r="K15">
        <v>4</v>
      </c>
      <c r="L15">
        <v>2.31</v>
      </c>
      <c r="M15">
        <v>2.9</v>
      </c>
      <c r="N15">
        <v>3</v>
      </c>
      <c r="O15">
        <v>398</v>
      </c>
      <c r="P15">
        <v>0.37451797363281247</v>
      </c>
    </row>
    <row r="16" spans="1:16" x14ac:dyDescent="0.2">
      <c r="A16" s="3">
        <v>14</v>
      </c>
      <c r="B16" s="4">
        <v>44295.689247685194</v>
      </c>
      <c r="C16">
        <v>106.8</v>
      </c>
      <c r="D16">
        <v>105.5</v>
      </c>
      <c r="E16">
        <v>110.5</v>
      </c>
      <c r="F16">
        <v>1</v>
      </c>
      <c r="G16">
        <v>443</v>
      </c>
      <c r="H16">
        <v>0.40369248657226559</v>
      </c>
      <c r="I16">
        <v>150</v>
      </c>
      <c r="J16" s="4">
        <v>44294.764791666668</v>
      </c>
      <c r="K16">
        <v>2.93</v>
      </c>
      <c r="L16">
        <v>2.62</v>
      </c>
      <c r="M16">
        <v>3.2</v>
      </c>
      <c r="N16">
        <v>1251</v>
      </c>
      <c r="O16">
        <v>3638</v>
      </c>
      <c r="P16">
        <v>0.36499658447265632</v>
      </c>
    </row>
    <row r="17" spans="1:16" x14ac:dyDescent="0.2">
      <c r="A17" s="3">
        <v>15</v>
      </c>
      <c r="B17" s="4">
        <v>44274.830451388887</v>
      </c>
      <c r="C17">
        <v>102</v>
      </c>
      <c r="D17">
        <v>102.75</v>
      </c>
      <c r="E17">
        <v>104.3</v>
      </c>
      <c r="F17">
        <v>18</v>
      </c>
      <c r="G17">
        <v>318</v>
      </c>
      <c r="H17">
        <v>0.35309484802246088</v>
      </c>
      <c r="I17">
        <v>155</v>
      </c>
      <c r="J17" s="4">
        <v>44294.5784375</v>
      </c>
      <c r="K17">
        <v>3.36</v>
      </c>
      <c r="L17">
        <v>3.2</v>
      </c>
      <c r="M17">
        <v>3.55</v>
      </c>
      <c r="N17">
        <v>1</v>
      </c>
      <c r="O17">
        <v>1058</v>
      </c>
      <c r="P17">
        <v>0.35632967895507811</v>
      </c>
    </row>
    <row r="18" spans="1:16" x14ac:dyDescent="0.2">
      <c r="A18" s="3">
        <v>16</v>
      </c>
      <c r="B18" s="4">
        <v>44294.665266203701</v>
      </c>
      <c r="C18">
        <v>95.88</v>
      </c>
      <c r="D18">
        <v>96</v>
      </c>
      <c r="E18">
        <v>101</v>
      </c>
      <c r="F18">
        <v>1</v>
      </c>
      <c r="G18">
        <v>231</v>
      </c>
      <c r="H18">
        <v>0.37604383728027352</v>
      </c>
      <c r="I18">
        <v>160</v>
      </c>
      <c r="J18" s="4">
        <v>44294.764791666668</v>
      </c>
      <c r="K18">
        <v>3.7</v>
      </c>
      <c r="L18">
        <v>3.5</v>
      </c>
      <c r="M18">
        <v>4</v>
      </c>
      <c r="N18">
        <v>1250</v>
      </c>
      <c r="O18">
        <v>2417</v>
      </c>
      <c r="P18">
        <v>0.3494938098144531</v>
      </c>
    </row>
    <row r="19" spans="1:16" x14ac:dyDescent="0.2">
      <c r="A19" s="3">
        <v>17</v>
      </c>
      <c r="B19" s="4">
        <v>44287.684027777781</v>
      </c>
      <c r="C19">
        <v>80.430000000000007</v>
      </c>
      <c r="D19">
        <v>91.75</v>
      </c>
      <c r="E19">
        <v>96.5</v>
      </c>
      <c r="F19">
        <v>3</v>
      </c>
      <c r="G19">
        <v>204</v>
      </c>
      <c r="H19">
        <v>0.36746848358154288</v>
      </c>
      <c r="I19">
        <v>165</v>
      </c>
      <c r="J19" s="4">
        <v>44287.616527777784</v>
      </c>
      <c r="K19">
        <v>5.0599999999999996</v>
      </c>
      <c r="L19">
        <v>3.9</v>
      </c>
      <c r="M19">
        <v>4.45</v>
      </c>
      <c r="N19">
        <v>5</v>
      </c>
      <c r="O19">
        <v>448</v>
      </c>
      <c r="P19">
        <v>0.34183397430419921</v>
      </c>
    </row>
    <row r="20" spans="1:16" x14ac:dyDescent="0.2">
      <c r="A20" s="3">
        <v>18</v>
      </c>
      <c r="B20" s="4">
        <v>44291.800856481481</v>
      </c>
      <c r="C20">
        <v>83.23</v>
      </c>
      <c r="D20">
        <v>87.5</v>
      </c>
      <c r="E20">
        <v>92</v>
      </c>
      <c r="F20">
        <v>7</v>
      </c>
      <c r="G20">
        <v>258</v>
      </c>
      <c r="H20">
        <v>0.3582827844238281</v>
      </c>
      <c r="I20">
        <v>170</v>
      </c>
      <c r="J20" s="4">
        <v>44293.67695601852</v>
      </c>
      <c r="K20">
        <v>4.78</v>
      </c>
      <c r="L20">
        <v>4.55</v>
      </c>
      <c r="M20">
        <v>4.95</v>
      </c>
      <c r="N20">
        <v>4</v>
      </c>
      <c r="O20">
        <v>2082</v>
      </c>
      <c r="P20">
        <v>0.33447931152343752</v>
      </c>
    </row>
    <row r="21" spans="1:16" x14ac:dyDescent="0.2">
      <c r="A21" s="3">
        <v>19</v>
      </c>
      <c r="B21" s="4">
        <v>44295.806157407409</v>
      </c>
      <c r="C21">
        <v>84.3</v>
      </c>
      <c r="D21">
        <v>84.75</v>
      </c>
      <c r="E21">
        <v>86.25</v>
      </c>
      <c r="F21">
        <v>150</v>
      </c>
      <c r="G21">
        <v>857</v>
      </c>
      <c r="H21">
        <v>0.32495792236328119</v>
      </c>
      <c r="I21">
        <v>175</v>
      </c>
      <c r="J21" s="4">
        <v>44293.690833333327</v>
      </c>
      <c r="K21">
        <v>5.61</v>
      </c>
      <c r="L21">
        <v>5.15</v>
      </c>
      <c r="M21">
        <v>5.55</v>
      </c>
      <c r="N21">
        <v>2</v>
      </c>
      <c r="O21">
        <v>717</v>
      </c>
      <c r="P21">
        <v>0.32828430511474599</v>
      </c>
    </row>
    <row r="22" spans="1:16" x14ac:dyDescent="0.2">
      <c r="A22" s="3">
        <v>20</v>
      </c>
      <c r="B22" s="4">
        <v>44295.663773148153</v>
      </c>
      <c r="C22">
        <v>80</v>
      </c>
      <c r="D22">
        <v>80.400000000000006</v>
      </c>
      <c r="E22">
        <v>81.95</v>
      </c>
      <c r="F22">
        <v>2</v>
      </c>
      <c r="G22">
        <v>371</v>
      </c>
      <c r="H22">
        <v>0.31989205505371088</v>
      </c>
      <c r="I22">
        <v>180</v>
      </c>
      <c r="J22" s="4">
        <v>44295.661805555559</v>
      </c>
      <c r="K22">
        <v>6.1</v>
      </c>
      <c r="L22">
        <v>5.8</v>
      </c>
      <c r="M22">
        <v>6.2</v>
      </c>
      <c r="N22">
        <v>4</v>
      </c>
      <c r="O22">
        <v>3279</v>
      </c>
      <c r="P22">
        <v>0.32208929870605463</v>
      </c>
    </row>
    <row r="23" spans="1:16" x14ac:dyDescent="0.2">
      <c r="A23" s="3">
        <v>21</v>
      </c>
      <c r="B23" s="4">
        <v>44287.832951388889</v>
      </c>
      <c r="C23">
        <v>65</v>
      </c>
      <c r="D23">
        <v>74.5</v>
      </c>
      <c r="E23">
        <v>77.55</v>
      </c>
      <c r="F23">
        <v>2</v>
      </c>
      <c r="G23">
        <v>87</v>
      </c>
      <c r="H23">
        <v>0.3120796331787109</v>
      </c>
      <c r="I23">
        <v>185</v>
      </c>
      <c r="J23" s="4">
        <v>44273.770069444443</v>
      </c>
      <c r="K23">
        <v>6.95</v>
      </c>
      <c r="L23">
        <v>6.4</v>
      </c>
      <c r="M23">
        <v>7</v>
      </c>
      <c r="N23">
        <v>11</v>
      </c>
      <c r="O23">
        <v>367</v>
      </c>
      <c r="P23">
        <v>0.31748119049072271</v>
      </c>
    </row>
    <row r="24" spans="1:16" x14ac:dyDescent="0.2">
      <c r="A24" s="3">
        <v>22</v>
      </c>
      <c r="B24" s="4">
        <v>44287.580995370372</v>
      </c>
      <c r="C24">
        <v>72</v>
      </c>
      <c r="D24">
        <v>70.650000000000006</v>
      </c>
      <c r="E24">
        <v>73.45</v>
      </c>
      <c r="F24">
        <v>1</v>
      </c>
      <c r="G24">
        <v>230</v>
      </c>
      <c r="H24">
        <v>0.30829549133300782</v>
      </c>
      <c r="I24">
        <v>190</v>
      </c>
      <c r="J24" s="4">
        <v>44295.659444444442</v>
      </c>
      <c r="K24">
        <v>7.65</v>
      </c>
      <c r="L24">
        <v>7.15</v>
      </c>
      <c r="M24">
        <v>7.8</v>
      </c>
      <c r="N24">
        <v>117</v>
      </c>
      <c r="O24">
        <v>1151</v>
      </c>
      <c r="P24">
        <v>0.31177446044921869</v>
      </c>
    </row>
    <row r="25" spans="1:16" x14ac:dyDescent="0.2">
      <c r="A25" s="3">
        <v>23</v>
      </c>
      <c r="B25" s="4">
        <v>44295.800335648149</v>
      </c>
      <c r="C25">
        <v>67.11</v>
      </c>
      <c r="D25">
        <v>67.599999999999994</v>
      </c>
      <c r="E25">
        <v>69.45</v>
      </c>
      <c r="F25">
        <v>22</v>
      </c>
      <c r="G25">
        <v>608</v>
      </c>
      <c r="H25">
        <v>0.30475548767089838</v>
      </c>
      <c r="I25">
        <v>195</v>
      </c>
      <c r="J25" s="4">
        <v>44295.781319444453</v>
      </c>
      <c r="K25">
        <v>8.75</v>
      </c>
      <c r="L25">
        <v>8.0500000000000007</v>
      </c>
      <c r="M25">
        <v>8.8000000000000007</v>
      </c>
      <c r="N25">
        <v>47</v>
      </c>
      <c r="O25">
        <v>1346</v>
      </c>
      <c r="P25">
        <v>0.30799031860351561</v>
      </c>
    </row>
    <row r="26" spans="1:16" x14ac:dyDescent="0.2">
      <c r="A26" s="3">
        <v>24</v>
      </c>
      <c r="B26" s="4">
        <v>44295.794317129628</v>
      </c>
      <c r="C26">
        <v>63.3</v>
      </c>
      <c r="D26">
        <v>63.55</v>
      </c>
      <c r="E26">
        <v>65.5</v>
      </c>
      <c r="F26">
        <v>60</v>
      </c>
      <c r="G26">
        <v>1563</v>
      </c>
      <c r="H26">
        <v>0.30066617309570309</v>
      </c>
      <c r="I26">
        <v>200</v>
      </c>
      <c r="J26" s="4">
        <v>44295.570138888892</v>
      </c>
      <c r="K26">
        <v>9.68</v>
      </c>
      <c r="L26">
        <v>8.6999999999999993</v>
      </c>
      <c r="M26">
        <v>9.8000000000000007</v>
      </c>
      <c r="N26">
        <v>77</v>
      </c>
      <c r="O26">
        <v>3434</v>
      </c>
      <c r="P26">
        <v>0.30303126174926759</v>
      </c>
    </row>
    <row r="27" spans="1:16" x14ac:dyDescent="0.2">
      <c r="A27" s="3">
        <v>25</v>
      </c>
      <c r="B27" s="4">
        <v>44295.670011574082</v>
      </c>
      <c r="C27">
        <v>59.75</v>
      </c>
      <c r="D27">
        <v>60.2</v>
      </c>
      <c r="E27">
        <v>61.6</v>
      </c>
      <c r="F27">
        <v>2</v>
      </c>
      <c r="G27">
        <v>31</v>
      </c>
      <c r="H27">
        <v>0.29608858215332029</v>
      </c>
      <c r="I27">
        <v>205</v>
      </c>
      <c r="J27" s="4">
        <v>44294.822685185187</v>
      </c>
      <c r="K27">
        <v>11.05</v>
      </c>
      <c r="L27">
        <v>9.85</v>
      </c>
      <c r="M27">
        <v>10.95</v>
      </c>
      <c r="N27">
        <v>57</v>
      </c>
      <c r="O27">
        <v>737</v>
      </c>
      <c r="P27">
        <v>0.29895720581054691</v>
      </c>
    </row>
    <row r="28" spans="1:16" x14ac:dyDescent="0.2">
      <c r="A28" s="3">
        <v>26</v>
      </c>
      <c r="B28" s="4">
        <v>44295.80023148148</v>
      </c>
      <c r="C28">
        <v>55.75</v>
      </c>
      <c r="D28">
        <v>55.7</v>
      </c>
      <c r="E28">
        <v>57.85</v>
      </c>
      <c r="F28">
        <v>4</v>
      </c>
      <c r="G28">
        <v>1832</v>
      </c>
      <c r="H28">
        <v>0.29225866439819331</v>
      </c>
      <c r="I28">
        <v>210</v>
      </c>
      <c r="J28" s="4">
        <v>44293.808587962973</v>
      </c>
      <c r="K28">
        <v>12.15</v>
      </c>
      <c r="L28">
        <v>11.1</v>
      </c>
      <c r="M28">
        <v>12.25</v>
      </c>
      <c r="N28">
        <v>25</v>
      </c>
      <c r="O28">
        <v>2348</v>
      </c>
      <c r="P28">
        <v>0.29560030578613278</v>
      </c>
    </row>
    <row r="29" spans="1:16" x14ac:dyDescent="0.2">
      <c r="A29" s="3">
        <v>27</v>
      </c>
      <c r="B29" s="4">
        <v>44295.800243055557</v>
      </c>
      <c r="C29">
        <v>52.15</v>
      </c>
      <c r="D29">
        <v>52.5</v>
      </c>
      <c r="E29">
        <v>54.25</v>
      </c>
      <c r="F29">
        <v>1</v>
      </c>
      <c r="G29">
        <v>167</v>
      </c>
      <c r="H29">
        <v>0.28902383346557609</v>
      </c>
      <c r="I29">
        <v>215</v>
      </c>
      <c r="J29" s="4">
        <v>44295.615300925929</v>
      </c>
      <c r="K29">
        <v>13.54</v>
      </c>
      <c r="L29">
        <v>12.55</v>
      </c>
      <c r="M29">
        <v>13.55</v>
      </c>
      <c r="N29">
        <v>36</v>
      </c>
      <c r="O29">
        <v>386</v>
      </c>
      <c r="P29">
        <v>0.29105323211669909</v>
      </c>
    </row>
    <row r="30" spans="1:16" x14ac:dyDescent="0.2">
      <c r="A30" s="3">
        <v>28</v>
      </c>
      <c r="B30" s="4">
        <v>44295.83053240741</v>
      </c>
      <c r="C30">
        <v>50</v>
      </c>
      <c r="D30">
        <v>49.05</v>
      </c>
      <c r="E30">
        <v>51.05</v>
      </c>
      <c r="F30">
        <v>3</v>
      </c>
      <c r="G30">
        <v>2255</v>
      </c>
      <c r="H30">
        <v>0.28900857482910153</v>
      </c>
      <c r="I30">
        <v>220</v>
      </c>
      <c r="J30" s="4">
        <v>44294.820914351847</v>
      </c>
      <c r="K30">
        <v>15.35</v>
      </c>
      <c r="L30">
        <v>14.1</v>
      </c>
      <c r="M30">
        <v>15.15</v>
      </c>
      <c r="N30">
        <v>160</v>
      </c>
      <c r="O30">
        <v>2792</v>
      </c>
      <c r="P30">
        <v>0.28874917800903321</v>
      </c>
    </row>
    <row r="31" spans="1:16" x14ac:dyDescent="0.2">
      <c r="A31" s="3">
        <v>29</v>
      </c>
      <c r="B31" s="4">
        <v>44295.734363425923</v>
      </c>
      <c r="C31">
        <v>45.85</v>
      </c>
      <c r="D31">
        <v>45.65</v>
      </c>
      <c r="E31">
        <v>47.3</v>
      </c>
      <c r="F31">
        <v>4</v>
      </c>
      <c r="G31">
        <v>334</v>
      </c>
      <c r="H31">
        <v>0.28174546386718752</v>
      </c>
      <c r="I31">
        <v>225</v>
      </c>
      <c r="J31" s="4">
        <v>44291.748252314806</v>
      </c>
      <c r="K31">
        <v>16.53</v>
      </c>
      <c r="L31">
        <v>15.7</v>
      </c>
      <c r="M31">
        <v>16.7</v>
      </c>
      <c r="N31">
        <v>1</v>
      </c>
      <c r="O31">
        <v>536</v>
      </c>
      <c r="P31">
        <v>0.28467512207031243</v>
      </c>
    </row>
    <row r="32" spans="1:16" x14ac:dyDescent="0.2">
      <c r="A32" s="3">
        <v>30</v>
      </c>
      <c r="B32" s="4">
        <v>44295.772499999999</v>
      </c>
      <c r="C32">
        <v>42.5</v>
      </c>
      <c r="D32">
        <v>42.55</v>
      </c>
      <c r="E32">
        <v>44</v>
      </c>
      <c r="F32">
        <v>12</v>
      </c>
      <c r="G32">
        <v>3421</v>
      </c>
      <c r="H32">
        <v>0.27820546020507808</v>
      </c>
      <c r="I32">
        <v>230</v>
      </c>
      <c r="J32" s="4">
        <v>44295.630983796298</v>
      </c>
      <c r="K32">
        <v>18.600000000000001</v>
      </c>
      <c r="L32">
        <v>17.45</v>
      </c>
      <c r="M32">
        <v>18.55</v>
      </c>
      <c r="N32">
        <v>4</v>
      </c>
      <c r="O32">
        <v>3934</v>
      </c>
      <c r="P32">
        <v>0.28256943023681641</v>
      </c>
    </row>
    <row r="33" spans="1:16" x14ac:dyDescent="0.2">
      <c r="A33" s="3">
        <v>31</v>
      </c>
      <c r="B33" s="4">
        <v>44295.815972222219</v>
      </c>
      <c r="C33">
        <v>40</v>
      </c>
      <c r="D33">
        <v>39.5</v>
      </c>
      <c r="E33">
        <v>40.950000000000003</v>
      </c>
      <c r="F33">
        <v>56</v>
      </c>
      <c r="G33">
        <v>1059</v>
      </c>
      <c r="H33">
        <v>0.27599295791625972</v>
      </c>
      <c r="I33">
        <v>235</v>
      </c>
      <c r="J33" s="4">
        <v>44287.796099537038</v>
      </c>
      <c r="K33">
        <v>20.6</v>
      </c>
      <c r="L33">
        <v>18.899999999999999</v>
      </c>
      <c r="M33">
        <v>20.5</v>
      </c>
      <c r="N33">
        <v>234</v>
      </c>
      <c r="O33">
        <v>599</v>
      </c>
      <c r="P33">
        <v>0.28021960021972647</v>
      </c>
    </row>
    <row r="34" spans="1:16" x14ac:dyDescent="0.2">
      <c r="A34" s="3">
        <v>32</v>
      </c>
      <c r="B34" s="4">
        <v>44294.618564814817</v>
      </c>
      <c r="C34">
        <v>35.549999999999997</v>
      </c>
      <c r="D34">
        <v>36.549999999999997</v>
      </c>
      <c r="E34">
        <v>37.9</v>
      </c>
      <c r="F34">
        <v>71</v>
      </c>
      <c r="G34">
        <v>1756</v>
      </c>
      <c r="H34">
        <v>0.27257502334594719</v>
      </c>
      <c r="I34">
        <v>240</v>
      </c>
      <c r="J34" s="4">
        <v>44292.742905092593</v>
      </c>
      <c r="K34">
        <v>24.16</v>
      </c>
      <c r="L34">
        <v>21.3</v>
      </c>
      <c r="M34">
        <v>22.4</v>
      </c>
      <c r="N34">
        <v>11</v>
      </c>
      <c r="O34">
        <v>834</v>
      </c>
      <c r="P34">
        <v>0.27620657882690419</v>
      </c>
    </row>
    <row r="35" spans="1:16" x14ac:dyDescent="0.2">
      <c r="A35" s="3">
        <v>33</v>
      </c>
      <c r="B35" s="4">
        <v>44295.768495370372</v>
      </c>
      <c r="C35">
        <v>33.799999999999997</v>
      </c>
      <c r="D35">
        <v>32.6</v>
      </c>
      <c r="E35">
        <v>35.15</v>
      </c>
      <c r="F35">
        <v>2</v>
      </c>
      <c r="G35">
        <v>766</v>
      </c>
      <c r="H35">
        <v>0.27082028015136722</v>
      </c>
      <c r="I35">
        <v>245</v>
      </c>
      <c r="J35" s="4">
        <v>44291.784780092603</v>
      </c>
      <c r="K35">
        <v>26.3</v>
      </c>
      <c r="L35">
        <v>23.55</v>
      </c>
      <c r="M35">
        <v>24.7</v>
      </c>
      <c r="N35">
        <v>6</v>
      </c>
      <c r="O35">
        <v>420</v>
      </c>
      <c r="P35">
        <v>0.27484856018066411</v>
      </c>
    </row>
    <row r="36" spans="1:16" x14ac:dyDescent="0.2">
      <c r="A36" s="3">
        <v>34</v>
      </c>
      <c r="B36" s="4">
        <v>44295.830543981479</v>
      </c>
      <c r="C36">
        <v>32</v>
      </c>
      <c r="D36">
        <v>31.15</v>
      </c>
      <c r="E36">
        <v>32.549999999999997</v>
      </c>
      <c r="F36">
        <v>42</v>
      </c>
      <c r="G36">
        <v>1889</v>
      </c>
      <c r="H36">
        <v>0.26926389923095712</v>
      </c>
      <c r="I36">
        <v>250</v>
      </c>
      <c r="J36" s="4">
        <v>44295.776053240741</v>
      </c>
      <c r="K36">
        <v>27.1</v>
      </c>
      <c r="L36">
        <v>25.7</v>
      </c>
      <c r="M36">
        <v>27.15</v>
      </c>
      <c r="N36">
        <v>23</v>
      </c>
      <c r="O36">
        <v>547</v>
      </c>
      <c r="P36">
        <v>0.27368890380859368</v>
      </c>
    </row>
    <row r="37" spans="1:16" x14ac:dyDescent="0.2">
      <c r="A37" s="3">
        <v>35</v>
      </c>
      <c r="B37" s="4">
        <v>44295.78869212963</v>
      </c>
      <c r="C37">
        <v>28.45</v>
      </c>
      <c r="D37">
        <v>28.2</v>
      </c>
      <c r="E37">
        <v>30.15</v>
      </c>
      <c r="F37">
        <v>7</v>
      </c>
      <c r="G37">
        <v>419</v>
      </c>
      <c r="H37">
        <v>0.26833312240600582</v>
      </c>
      <c r="I37">
        <v>255</v>
      </c>
      <c r="J37" s="4">
        <v>44295.600486111107</v>
      </c>
      <c r="K37">
        <v>29.65</v>
      </c>
      <c r="L37">
        <v>27.3</v>
      </c>
      <c r="M37">
        <v>29.55</v>
      </c>
      <c r="N37">
        <v>41</v>
      </c>
      <c r="O37">
        <v>93</v>
      </c>
      <c r="P37">
        <v>0.27088131469726562</v>
      </c>
    </row>
    <row r="38" spans="1:16" x14ac:dyDescent="0.2">
      <c r="A38" s="3">
        <v>36</v>
      </c>
      <c r="B38" s="4">
        <v>44295.690162037034</v>
      </c>
      <c r="C38">
        <v>26.41</v>
      </c>
      <c r="D38">
        <v>26.2</v>
      </c>
      <c r="E38">
        <v>27.65</v>
      </c>
      <c r="F38">
        <v>43</v>
      </c>
      <c r="G38">
        <v>1718</v>
      </c>
      <c r="H38">
        <v>0.26532717102050779</v>
      </c>
      <c r="I38">
        <v>260</v>
      </c>
      <c r="J38" s="4">
        <v>44295.81523148148</v>
      </c>
      <c r="K38">
        <v>31.94</v>
      </c>
      <c r="L38">
        <v>30.75</v>
      </c>
      <c r="M38">
        <v>32.200000000000003</v>
      </c>
      <c r="N38">
        <v>11</v>
      </c>
      <c r="O38">
        <v>617</v>
      </c>
      <c r="P38">
        <v>0.26920286468505861</v>
      </c>
    </row>
    <row r="39" spans="1:16" x14ac:dyDescent="0.2">
      <c r="A39" s="3">
        <v>37</v>
      </c>
      <c r="B39" s="4">
        <v>44295.5625462963</v>
      </c>
      <c r="C39">
        <v>23.5</v>
      </c>
      <c r="D39">
        <v>24.05</v>
      </c>
      <c r="E39">
        <v>25.45</v>
      </c>
      <c r="F39">
        <v>1</v>
      </c>
      <c r="G39">
        <v>335</v>
      </c>
      <c r="H39">
        <v>0.26387760055541992</v>
      </c>
      <c r="I39">
        <v>265</v>
      </c>
      <c r="J39" s="4">
        <v>44237.655856481477</v>
      </c>
      <c r="K39">
        <v>47.9</v>
      </c>
      <c r="L39">
        <v>47.5</v>
      </c>
      <c r="M39">
        <v>51.4</v>
      </c>
      <c r="N39">
        <v>4</v>
      </c>
      <c r="O39">
        <v>144</v>
      </c>
      <c r="P39">
        <v>0.41580784393310538</v>
      </c>
    </row>
    <row r="40" spans="1:16" x14ac:dyDescent="0.2">
      <c r="A40" s="3">
        <v>38</v>
      </c>
      <c r="B40" s="4">
        <v>44295.606527777767</v>
      </c>
      <c r="C40">
        <v>22.2</v>
      </c>
      <c r="D40">
        <v>22.05</v>
      </c>
      <c r="E40">
        <v>23.3</v>
      </c>
      <c r="F40">
        <v>41</v>
      </c>
      <c r="G40">
        <v>2460</v>
      </c>
      <c r="H40">
        <v>0.26175665008544918</v>
      </c>
      <c r="I40">
        <v>270</v>
      </c>
      <c r="J40" s="4">
        <v>44287.771793981483</v>
      </c>
      <c r="K40">
        <v>45.03</v>
      </c>
      <c r="L40">
        <v>36.35</v>
      </c>
      <c r="M40">
        <v>37.9</v>
      </c>
      <c r="N40">
        <v>1</v>
      </c>
      <c r="O40">
        <v>4011</v>
      </c>
      <c r="P40">
        <v>0.26609010284423829</v>
      </c>
    </row>
    <row r="41" spans="1:16" x14ac:dyDescent="0.2">
      <c r="A41" s="3">
        <v>39</v>
      </c>
      <c r="B41" s="4">
        <v>44295.804166666669</v>
      </c>
      <c r="C41">
        <v>20.25</v>
      </c>
      <c r="D41">
        <v>20.149999999999999</v>
      </c>
      <c r="E41">
        <v>21.35</v>
      </c>
      <c r="F41">
        <v>44</v>
      </c>
      <c r="G41">
        <v>192</v>
      </c>
      <c r="H41">
        <v>0.26032233825683587</v>
      </c>
      <c r="I41">
        <v>275</v>
      </c>
      <c r="J41" s="4">
        <v>44294.820960648147</v>
      </c>
      <c r="K41">
        <v>41.75</v>
      </c>
      <c r="L41">
        <v>39.4</v>
      </c>
      <c r="M41">
        <v>40.950000000000003</v>
      </c>
      <c r="N41">
        <v>32</v>
      </c>
      <c r="O41">
        <v>30</v>
      </c>
      <c r="P41">
        <v>0.2646863082885742</v>
      </c>
    </row>
    <row r="42" spans="1:16" x14ac:dyDescent="0.2">
      <c r="A42" s="3">
        <v>40</v>
      </c>
      <c r="B42" s="4">
        <v>44295.655659722222</v>
      </c>
      <c r="C42">
        <v>18.399999999999999</v>
      </c>
      <c r="D42">
        <v>18.7</v>
      </c>
      <c r="E42">
        <v>19.600000000000001</v>
      </c>
      <c r="F42">
        <v>3</v>
      </c>
      <c r="G42">
        <v>2230</v>
      </c>
      <c r="H42">
        <v>0.25962044097900389</v>
      </c>
      <c r="I42">
        <v>280</v>
      </c>
      <c r="J42" s="4">
        <v>44294.692824074067</v>
      </c>
      <c r="K42">
        <v>45.2</v>
      </c>
      <c r="L42">
        <v>43</v>
      </c>
      <c r="M42">
        <v>44.05</v>
      </c>
      <c r="N42">
        <v>22</v>
      </c>
      <c r="O42">
        <v>1459</v>
      </c>
      <c r="P42">
        <v>0.2626569096374512</v>
      </c>
    </row>
    <row r="43" spans="1:16" x14ac:dyDescent="0.2">
      <c r="A43" s="3">
        <v>41</v>
      </c>
      <c r="B43" s="4">
        <v>44295.569479166668</v>
      </c>
      <c r="C43">
        <v>16.3</v>
      </c>
      <c r="D43">
        <v>17.05</v>
      </c>
      <c r="E43">
        <v>17.8</v>
      </c>
      <c r="F43">
        <v>51</v>
      </c>
      <c r="G43">
        <v>174</v>
      </c>
      <c r="H43">
        <v>0.25737742141723641</v>
      </c>
      <c r="I43">
        <v>285</v>
      </c>
      <c r="J43" s="4">
        <v>44292.68209490741</v>
      </c>
      <c r="K43">
        <v>50.45</v>
      </c>
      <c r="L43">
        <v>46.35</v>
      </c>
      <c r="M43">
        <v>47.45</v>
      </c>
      <c r="N43">
        <v>1</v>
      </c>
      <c r="O43">
        <v>20</v>
      </c>
      <c r="P43">
        <v>0.2623059609985352</v>
      </c>
    </row>
    <row r="44" spans="1:16" x14ac:dyDescent="0.2">
      <c r="A44" s="3">
        <v>42</v>
      </c>
      <c r="B44" s="4">
        <v>44294.816504629627</v>
      </c>
      <c r="C44">
        <v>14.85</v>
      </c>
      <c r="D44">
        <v>15.5</v>
      </c>
      <c r="E44">
        <v>16.2</v>
      </c>
      <c r="F44">
        <v>99</v>
      </c>
      <c r="G44">
        <v>212</v>
      </c>
      <c r="H44">
        <v>0.25592785095214837</v>
      </c>
      <c r="I44">
        <v>290</v>
      </c>
      <c r="J44" s="4">
        <v>44277.576944444438</v>
      </c>
      <c r="K44">
        <v>68.58</v>
      </c>
      <c r="L44">
        <v>49.4</v>
      </c>
      <c r="M44">
        <v>50.85</v>
      </c>
      <c r="N44">
        <v>2</v>
      </c>
      <c r="O44">
        <v>39</v>
      </c>
      <c r="P44">
        <v>0.26096320098876957</v>
      </c>
    </row>
    <row r="45" spans="1:16" x14ac:dyDescent="0.2">
      <c r="A45" s="3">
        <v>43</v>
      </c>
      <c r="B45" s="4">
        <v>44295.571458333332</v>
      </c>
      <c r="C45">
        <v>13.45</v>
      </c>
      <c r="D45">
        <v>13.65</v>
      </c>
      <c r="E45">
        <v>14.85</v>
      </c>
      <c r="F45">
        <v>32</v>
      </c>
      <c r="G45">
        <v>62</v>
      </c>
      <c r="H45">
        <v>0.25583629913330092</v>
      </c>
      <c r="I45">
        <v>295</v>
      </c>
      <c r="J45" s="4">
        <v>44292.833287037043</v>
      </c>
      <c r="K45">
        <v>59</v>
      </c>
      <c r="L45">
        <v>0</v>
      </c>
      <c r="M45">
        <v>0</v>
      </c>
      <c r="N45">
        <v>52</v>
      </c>
      <c r="O45">
        <v>0</v>
      </c>
      <c r="P45">
        <v>1.0000000000000001E-5</v>
      </c>
    </row>
    <row r="46" spans="1:16" x14ac:dyDescent="0.2">
      <c r="A46" s="3">
        <v>44</v>
      </c>
      <c r="B46" s="4">
        <v>44295.810162037043</v>
      </c>
      <c r="C46">
        <v>12.7</v>
      </c>
      <c r="D46">
        <v>12.35</v>
      </c>
      <c r="E46">
        <v>13.55</v>
      </c>
      <c r="F46">
        <v>29</v>
      </c>
      <c r="G46">
        <v>1908</v>
      </c>
      <c r="H46">
        <v>0.25525647094726572</v>
      </c>
      <c r="I46">
        <v>300</v>
      </c>
      <c r="J46" s="4">
        <v>44287.824386574073</v>
      </c>
      <c r="K46">
        <v>62.84</v>
      </c>
      <c r="L46">
        <v>56.5</v>
      </c>
      <c r="M46">
        <v>58.05</v>
      </c>
      <c r="N46">
        <v>9</v>
      </c>
      <c r="O46">
        <v>236</v>
      </c>
      <c r="P46">
        <v>0.25905587142944342</v>
      </c>
    </row>
    <row r="47" spans="1:16" x14ac:dyDescent="0.2">
      <c r="A47" s="3">
        <v>45</v>
      </c>
      <c r="B47" s="4">
        <v>44295.76798611111</v>
      </c>
      <c r="C47">
        <v>11.42</v>
      </c>
      <c r="D47">
        <v>11.1</v>
      </c>
      <c r="E47">
        <v>12.25</v>
      </c>
      <c r="F47">
        <v>20</v>
      </c>
      <c r="G47">
        <v>111</v>
      </c>
      <c r="H47">
        <v>0.25371534866333012</v>
      </c>
      <c r="I47">
        <v>305</v>
      </c>
      <c r="J47" s="4">
        <v>44287.824386574073</v>
      </c>
      <c r="K47">
        <v>71.349999999999994</v>
      </c>
      <c r="L47">
        <v>60.25</v>
      </c>
      <c r="M47">
        <v>61.9</v>
      </c>
      <c r="N47">
        <v>20</v>
      </c>
      <c r="O47">
        <v>63</v>
      </c>
      <c r="P47">
        <v>0.25914742324829099</v>
      </c>
    </row>
    <row r="48" spans="1:16" x14ac:dyDescent="0.2">
      <c r="A48" s="3">
        <v>46</v>
      </c>
      <c r="B48" s="4">
        <v>44295.801435185182</v>
      </c>
      <c r="C48">
        <v>10.27</v>
      </c>
      <c r="D48">
        <v>10</v>
      </c>
      <c r="E48">
        <v>11.2</v>
      </c>
      <c r="F48">
        <v>73</v>
      </c>
      <c r="G48">
        <v>1355</v>
      </c>
      <c r="H48">
        <v>0.25377638320922852</v>
      </c>
      <c r="I48">
        <v>310</v>
      </c>
      <c r="J48" s="4">
        <v>44295.81523148148</v>
      </c>
      <c r="K48">
        <v>65.58</v>
      </c>
      <c r="L48">
        <v>64.150000000000006</v>
      </c>
      <c r="M48">
        <v>65.75</v>
      </c>
      <c r="N48">
        <v>22</v>
      </c>
      <c r="O48">
        <v>930</v>
      </c>
      <c r="P48">
        <v>0.25833871551513682</v>
      </c>
    </row>
    <row r="49" spans="1:16" x14ac:dyDescent="0.2">
      <c r="A49" s="3">
        <v>47</v>
      </c>
      <c r="B49" s="4">
        <v>44295.748472222222</v>
      </c>
      <c r="C49">
        <v>9.5500000000000007</v>
      </c>
      <c r="D49">
        <v>9.3000000000000007</v>
      </c>
      <c r="E49">
        <v>10.1</v>
      </c>
      <c r="F49">
        <v>58</v>
      </c>
      <c r="G49">
        <v>39</v>
      </c>
      <c r="H49">
        <v>0.25240310592651372</v>
      </c>
      <c r="I49">
        <v>315</v>
      </c>
      <c r="J49" s="4">
        <v>44217.785902777781</v>
      </c>
      <c r="K49">
        <v>97.2</v>
      </c>
      <c r="L49">
        <v>84.35</v>
      </c>
      <c r="M49">
        <v>85.3</v>
      </c>
      <c r="N49">
        <v>14</v>
      </c>
      <c r="O49">
        <v>32</v>
      </c>
      <c r="P49">
        <v>0.41011637252807609</v>
      </c>
    </row>
    <row r="50" spans="1:16" x14ac:dyDescent="0.2">
      <c r="A50" s="3">
        <v>48</v>
      </c>
      <c r="B50" s="4">
        <v>44295.58935185185</v>
      </c>
      <c r="C50">
        <v>8.6</v>
      </c>
      <c r="D50">
        <v>8.4</v>
      </c>
      <c r="E50">
        <v>9.25</v>
      </c>
      <c r="F50">
        <v>82</v>
      </c>
      <c r="G50">
        <v>3318</v>
      </c>
      <c r="H50">
        <v>0.25287612365722661</v>
      </c>
      <c r="I50">
        <v>320</v>
      </c>
      <c r="J50" s="4">
        <v>44278.600347222222</v>
      </c>
      <c r="K50">
        <v>87.89</v>
      </c>
      <c r="L50">
        <v>72.5</v>
      </c>
      <c r="M50">
        <v>73.8</v>
      </c>
      <c r="N50">
        <v>30</v>
      </c>
      <c r="O50">
        <v>2167</v>
      </c>
      <c r="P50">
        <v>0.2577894046020508</v>
      </c>
    </row>
    <row r="51" spans="1:16" x14ac:dyDescent="0.2">
      <c r="A51" s="3">
        <v>49</v>
      </c>
      <c r="B51" s="4">
        <v>44295.783703703702</v>
      </c>
      <c r="C51">
        <v>7.75</v>
      </c>
      <c r="D51">
        <v>7.45</v>
      </c>
      <c r="E51">
        <v>8.35</v>
      </c>
      <c r="F51">
        <v>89</v>
      </c>
      <c r="G51">
        <v>32</v>
      </c>
      <c r="H51">
        <v>0.25196060546874999</v>
      </c>
      <c r="I51">
        <v>325</v>
      </c>
      <c r="J51" s="4">
        <v>44230.625</v>
      </c>
      <c r="K51">
        <v>93.8</v>
      </c>
      <c r="L51">
        <v>98.9</v>
      </c>
      <c r="M51">
        <v>100.25</v>
      </c>
      <c r="N51">
        <v>2</v>
      </c>
      <c r="O51">
        <v>7</v>
      </c>
      <c r="P51">
        <v>0.47784945983886717</v>
      </c>
    </row>
    <row r="52" spans="1:16" x14ac:dyDescent="0.2">
      <c r="A52" s="3">
        <v>50</v>
      </c>
      <c r="B52" s="4">
        <v>44291.780011574083</v>
      </c>
      <c r="C52">
        <v>5.99</v>
      </c>
      <c r="D52">
        <v>6.85</v>
      </c>
      <c r="E52">
        <v>7.65</v>
      </c>
      <c r="F52">
        <v>30</v>
      </c>
      <c r="G52">
        <v>95</v>
      </c>
      <c r="H52">
        <v>0.25257095092773441</v>
      </c>
      <c r="I52">
        <v>330</v>
      </c>
      <c r="J52" s="4">
        <v>44281.768437500003</v>
      </c>
      <c r="K52">
        <v>100.5</v>
      </c>
      <c r="L52">
        <v>80.849999999999994</v>
      </c>
      <c r="M52">
        <v>82.2</v>
      </c>
      <c r="N52">
        <v>20</v>
      </c>
      <c r="O52">
        <v>34</v>
      </c>
      <c r="P52">
        <v>0.2579114736938477</v>
      </c>
    </row>
    <row r="53" spans="1:16" x14ac:dyDescent="0.2">
      <c r="A53" s="3">
        <v>51</v>
      </c>
      <c r="B53" s="4">
        <v>44287.78392361111</v>
      </c>
      <c r="C53">
        <v>4.55</v>
      </c>
      <c r="D53">
        <v>6.1</v>
      </c>
      <c r="E53">
        <v>6.95</v>
      </c>
      <c r="F53">
        <v>58</v>
      </c>
      <c r="G53">
        <v>74</v>
      </c>
      <c r="H53">
        <v>0.25246414047241211</v>
      </c>
      <c r="I53">
        <v>335</v>
      </c>
      <c r="J53" s="4">
        <v>44280.695231481477</v>
      </c>
      <c r="K53">
        <v>106.75</v>
      </c>
      <c r="L53">
        <v>85.15</v>
      </c>
      <c r="M53">
        <v>86.55</v>
      </c>
      <c r="N53">
        <v>5</v>
      </c>
      <c r="O53">
        <v>9</v>
      </c>
      <c r="P53">
        <v>0.25865914688110347</v>
      </c>
    </row>
    <row r="54" spans="1:16" x14ac:dyDescent="0.2">
      <c r="A54" s="3">
        <v>52</v>
      </c>
      <c r="B54" s="4">
        <v>44294.604629629634</v>
      </c>
      <c r="C54">
        <v>5.5</v>
      </c>
      <c r="D54">
        <v>5.7</v>
      </c>
      <c r="E54">
        <v>6.35</v>
      </c>
      <c r="F54">
        <v>1</v>
      </c>
      <c r="G54">
        <v>254</v>
      </c>
      <c r="H54">
        <v>0.25290664093017579</v>
      </c>
      <c r="I54">
        <v>340</v>
      </c>
      <c r="J54" s="4">
        <v>44292.596550925933</v>
      </c>
      <c r="K54">
        <v>96.35</v>
      </c>
      <c r="L54">
        <v>87.5</v>
      </c>
      <c r="M54">
        <v>90.9</v>
      </c>
      <c r="N54">
        <v>1</v>
      </c>
      <c r="O54">
        <v>87</v>
      </c>
      <c r="P54">
        <v>0.25872018142700198</v>
      </c>
    </row>
    <row r="55" spans="1:16" x14ac:dyDescent="0.2">
      <c r="A55" s="3">
        <v>53</v>
      </c>
      <c r="B55" s="4">
        <v>44295.796342592592</v>
      </c>
      <c r="C55">
        <v>5.2</v>
      </c>
      <c r="D55">
        <v>5.0999999999999996</v>
      </c>
      <c r="E55">
        <v>5.9</v>
      </c>
      <c r="F55">
        <v>1</v>
      </c>
      <c r="G55">
        <v>52</v>
      </c>
      <c r="H55">
        <v>0.2547071600341797</v>
      </c>
      <c r="I55">
        <v>345</v>
      </c>
      <c r="J55" s="4">
        <v>44280.659131944441</v>
      </c>
      <c r="K55">
        <v>116.2</v>
      </c>
      <c r="L55">
        <v>93.8</v>
      </c>
      <c r="M55">
        <v>95.3</v>
      </c>
      <c r="O55">
        <v>5</v>
      </c>
      <c r="P55">
        <v>0.2587354400634766</v>
      </c>
    </row>
    <row r="56" spans="1:16" x14ac:dyDescent="0.2">
      <c r="A56" s="3">
        <v>54</v>
      </c>
      <c r="B56" s="4">
        <v>44295.82068287037</v>
      </c>
      <c r="C56">
        <v>4.9000000000000004</v>
      </c>
      <c r="D56">
        <v>4.45</v>
      </c>
      <c r="E56">
        <v>5.25</v>
      </c>
      <c r="F56">
        <v>49</v>
      </c>
      <c r="G56">
        <v>468</v>
      </c>
      <c r="H56">
        <v>0.25305922729492192</v>
      </c>
      <c r="I56">
        <v>350</v>
      </c>
      <c r="J56" s="4">
        <v>44286.663148148153</v>
      </c>
      <c r="K56">
        <v>116.8</v>
      </c>
      <c r="L56">
        <v>98.35</v>
      </c>
      <c r="M56">
        <v>99.8</v>
      </c>
      <c r="N56">
        <v>6</v>
      </c>
      <c r="O56">
        <v>78</v>
      </c>
      <c r="P56">
        <v>0.25946785461425781</v>
      </c>
    </row>
    <row r="57" spans="1:16" x14ac:dyDescent="0.2">
      <c r="A57" s="3">
        <v>55</v>
      </c>
      <c r="B57" s="4">
        <v>44295.765335648153</v>
      </c>
      <c r="C57">
        <v>4.38</v>
      </c>
      <c r="D57">
        <v>4</v>
      </c>
      <c r="E57">
        <v>4.8</v>
      </c>
      <c r="F57">
        <v>348</v>
      </c>
      <c r="G57">
        <v>240</v>
      </c>
      <c r="H57">
        <v>0.25360853820800788</v>
      </c>
      <c r="I57">
        <v>355</v>
      </c>
      <c r="J57" s="4">
        <v>44277.576944444438</v>
      </c>
      <c r="K57">
        <v>125.51</v>
      </c>
      <c r="L57">
        <v>101</v>
      </c>
      <c r="M57">
        <v>104.35</v>
      </c>
      <c r="N57">
        <v>1</v>
      </c>
      <c r="O57">
        <v>15</v>
      </c>
      <c r="P57">
        <v>0.26035285552978521</v>
      </c>
    </row>
    <row r="58" spans="1:16" x14ac:dyDescent="0.2">
      <c r="A58" s="3">
        <v>56</v>
      </c>
      <c r="B58" s="4">
        <v>44292.830254629633</v>
      </c>
      <c r="C58">
        <v>3.2</v>
      </c>
      <c r="D58">
        <v>3.8</v>
      </c>
      <c r="E58">
        <v>4.3499999999999996</v>
      </c>
      <c r="F58">
        <v>2</v>
      </c>
      <c r="G58">
        <v>177</v>
      </c>
      <c r="H58">
        <v>0.2535169863891602</v>
      </c>
      <c r="I58">
        <v>360</v>
      </c>
      <c r="J58" s="4">
        <v>44295.81523148148</v>
      </c>
      <c r="K58">
        <v>108.82</v>
      </c>
      <c r="L58">
        <v>107.45</v>
      </c>
      <c r="M58">
        <v>108.95</v>
      </c>
      <c r="N58">
        <v>11</v>
      </c>
      <c r="O58">
        <v>579</v>
      </c>
      <c r="P58">
        <v>0.26139044281005858</v>
      </c>
    </row>
    <row r="59" spans="1:16" x14ac:dyDescent="0.2">
      <c r="A59" s="3">
        <v>57</v>
      </c>
      <c r="B59" s="4">
        <v>44295.740532407413</v>
      </c>
      <c r="C59">
        <v>3.6</v>
      </c>
      <c r="D59">
        <v>3.45</v>
      </c>
      <c r="E59">
        <v>4.05</v>
      </c>
      <c r="F59">
        <v>1</v>
      </c>
      <c r="G59">
        <v>334</v>
      </c>
      <c r="H59">
        <v>0.25531750549316412</v>
      </c>
      <c r="I59">
        <v>365</v>
      </c>
      <c r="J59" s="4">
        <v>44280.726469907408</v>
      </c>
      <c r="K59">
        <v>134.6</v>
      </c>
      <c r="L59">
        <v>112.1</v>
      </c>
      <c r="M59">
        <v>113.65</v>
      </c>
      <c r="O59">
        <v>2</v>
      </c>
      <c r="P59">
        <v>0.26355716918945321</v>
      </c>
    </row>
    <row r="60" spans="1:16" x14ac:dyDescent="0.2">
      <c r="A60" s="3">
        <v>58</v>
      </c>
      <c r="B60" s="4">
        <v>44294.827800925923</v>
      </c>
      <c r="C60">
        <v>3.2</v>
      </c>
      <c r="D60">
        <v>2.75</v>
      </c>
      <c r="E60">
        <v>3.4</v>
      </c>
      <c r="F60">
        <v>65</v>
      </c>
      <c r="G60">
        <v>0</v>
      </c>
      <c r="H60">
        <v>0.25025163818359369</v>
      </c>
      <c r="I60">
        <v>370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Maturities</vt:lpstr>
      <vt:lpstr>Greeks</vt:lpstr>
      <vt:lpstr>VolatilitySurface</vt:lpstr>
      <vt:lpstr>2021-04-30</vt:lpstr>
      <vt:lpstr>2021-05-07</vt:lpstr>
      <vt:lpstr>2021-05-14</vt:lpstr>
      <vt:lpstr>2021-05-21</vt:lpstr>
      <vt:lpstr>2021-05-28</vt:lpstr>
      <vt:lpstr>2021-06-18</vt:lpstr>
      <vt:lpstr>2021-07-16</vt:lpstr>
      <vt:lpstr>2021-08-20</vt:lpstr>
      <vt:lpstr>2021-09-17</vt:lpstr>
      <vt:lpstr>2021-10-15</vt:lpstr>
      <vt:lpstr>2022-01-21</vt:lpstr>
      <vt:lpstr>2022-03-18</vt:lpstr>
      <vt:lpstr>2022-06-17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2021-04-09T14:16:41Z</dcterms:created>
  <dcterms:modified xsi:type="dcterms:W3CDTF">2021-04-11T17:21:32Z</dcterms:modified>
</cp:coreProperties>
</file>